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ni\Documents\Excel-Portfolio\"/>
    </mc:Choice>
  </mc:AlternateContent>
  <xr:revisionPtr revIDLastSave="0" documentId="13_ncr:1_{1937DDD7-BDBC-4667-9623-4B68C2D26F3A}" xr6:coauthVersionLast="47" xr6:coauthVersionMax="47" xr10:uidLastSave="{00000000-0000-0000-0000-000000000000}"/>
  <bookViews>
    <workbookView xWindow="-120" yWindow="-120" windowWidth="20730" windowHeight="11760" activeTab="1" xr2:uid="{3A5B9488-4C2F-4F4D-AD83-87F7C6430F9C}"/>
  </bookViews>
  <sheets>
    <sheet name="Data Penjualan" sheetId="1" r:id="rId1"/>
    <sheet name="Master Produk" sheetId="4" r:id="rId2"/>
    <sheet name="Data Dashboard" sheetId="2" r:id="rId3"/>
    <sheet name="Rumu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5" i="4" l="1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4" i="4"/>
</calcChain>
</file>

<file path=xl/sharedStrings.xml><?xml version="1.0" encoding="utf-8"?>
<sst xmlns="http://schemas.openxmlformats.org/spreadsheetml/2006/main" count="433" uniqueCount="165">
  <si>
    <t>DATA PENJUALAN</t>
  </si>
  <si>
    <t>Tanggal</t>
  </si>
  <si>
    <t>Invoice</t>
  </si>
  <si>
    <t>No</t>
  </si>
  <si>
    <t>Produk</t>
  </si>
  <si>
    <t>Kategori</t>
  </si>
  <si>
    <t>Harga</t>
  </si>
  <si>
    <t>Qty</t>
  </si>
  <si>
    <t>Diskon</t>
  </si>
  <si>
    <t>Total</t>
  </si>
  <si>
    <t>Dashboard</t>
  </si>
  <si>
    <t>Total Penjualan</t>
  </si>
  <si>
    <t>Jumlah Transaksi</t>
  </si>
  <si>
    <t>Produk Terlaris</t>
  </si>
  <si>
    <t>Kategori Terlaris</t>
  </si>
  <si>
    <t>Chart</t>
  </si>
  <si>
    <t>21/07/2026</t>
  </si>
  <si>
    <t>INV001</t>
  </si>
  <si>
    <t>Flashdisk Sandisk 32GB</t>
  </si>
  <si>
    <t>Storage</t>
  </si>
  <si>
    <t>INV002</t>
  </si>
  <si>
    <t>Monitor LG 24"</t>
  </si>
  <si>
    <t>Monitor</t>
  </si>
  <si>
    <t>22/07/2026</t>
  </si>
  <si>
    <t>INV003</t>
  </si>
  <si>
    <t>Speaker Logitech Z120</t>
  </si>
  <si>
    <t>Audio</t>
  </si>
  <si>
    <t>INV004</t>
  </si>
  <si>
    <t>Mouse Logitech M185</t>
  </si>
  <si>
    <t>Aksesoris</t>
  </si>
  <si>
    <t>INV005</t>
  </si>
  <si>
    <t>UPS 650VA</t>
  </si>
  <si>
    <t>Power</t>
  </si>
  <si>
    <t>18/07/2026</t>
  </si>
  <si>
    <t>INV006</t>
  </si>
  <si>
    <t>RAM DDR4 16GB</t>
  </si>
  <si>
    <t>Komponen</t>
  </si>
  <si>
    <t>INV007</t>
  </si>
  <si>
    <t>Router TP-Link</t>
  </si>
  <si>
    <t>Networking</t>
  </si>
  <si>
    <t>26/07/2026</t>
  </si>
  <si>
    <t>INV008</t>
  </si>
  <si>
    <t>INV009</t>
  </si>
  <si>
    <t>Printer Epson L3250</t>
  </si>
  <si>
    <t>Printer</t>
  </si>
  <si>
    <t>31/07/2026</t>
  </si>
  <si>
    <t>INV010</t>
  </si>
  <si>
    <t>Kabel HDMI 2 Meter</t>
  </si>
  <si>
    <t>13/07/2026</t>
  </si>
  <si>
    <t>INV011</t>
  </si>
  <si>
    <t>20/07/2026</t>
  </si>
  <si>
    <t>INV012</t>
  </si>
  <si>
    <t>INV013</t>
  </si>
  <si>
    <t>INV014</t>
  </si>
  <si>
    <t>Webcam Logitech C270</t>
  </si>
  <si>
    <t>19/07/2026</t>
  </si>
  <si>
    <t>INV015</t>
  </si>
  <si>
    <t>INV016</t>
  </si>
  <si>
    <t>28/07/2026</t>
  </si>
  <si>
    <t>INV017</t>
  </si>
  <si>
    <t>INV018</t>
  </si>
  <si>
    <t>INV019</t>
  </si>
  <si>
    <t>Laptop Stand</t>
  </si>
  <si>
    <t>23/07/2026</t>
  </si>
  <si>
    <t>INV020</t>
  </si>
  <si>
    <t>Headset Fantech HG11</t>
  </si>
  <si>
    <t>INV021</t>
  </si>
  <si>
    <t>INV022</t>
  </si>
  <si>
    <t>INV023</t>
  </si>
  <si>
    <t>27/07/2026</t>
  </si>
  <si>
    <t>INV024</t>
  </si>
  <si>
    <t>Keyboard Logitech K120</t>
  </si>
  <si>
    <t>INV025</t>
  </si>
  <si>
    <t>INV026</t>
  </si>
  <si>
    <t>Switch 8 Port</t>
  </si>
  <si>
    <t>INV027</t>
  </si>
  <si>
    <t>24/07/2026</t>
  </si>
  <si>
    <t>INV028</t>
  </si>
  <si>
    <t>INV029</t>
  </si>
  <si>
    <t>Microphone USB</t>
  </si>
  <si>
    <t>INV030</t>
  </si>
  <si>
    <t>INV031</t>
  </si>
  <si>
    <t>INV032</t>
  </si>
  <si>
    <t>RAM DDR4 8GB</t>
  </si>
  <si>
    <t>INV033</t>
  </si>
  <si>
    <t>Cooling Pad</t>
  </si>
  <si>
    <t>17/07/2026</t>
  </si>
  <si>
    <t>INV034</t>
  </si>
  <si>
    <t>INV035</t>
  </si>
  <si>
    <t>25/07/2026</t>
  </si>
  <si>
    <t>INV036</t>
  </si>
  <si>
    <t>14/07/2026</t>
  </si>
  <si>
    <t>INV037</t>
  </si>
  <si>
    <t>INV038</t>
  </si>
  <si>
    <t>INV039</t>
  </si>
  <si>
    <t>INV040</t>
  </si>
  <si>
    <t>INV041</t>
  </si>
  <si>
    <t>INV042</t>
  </si>
  <si>
    <t>INV043</t>
  </si>
  <si>
    <t>INV044</t>
  </si>
  <si>
    <t>INV045</t>
  </si>
  <si>
    <t>INV046</t>
  </si>
  <si>
    <t>INV047</t>
  </si>
  <si>
    <t>INV048</t>
  </si>
  <si>
    <t>15/07/2026</t>
  </si>
  <si>
    <t>INV049</t>
  </si>
  <si>
    <t>INV050</t>
  </si>
  <si>
    <t>INV051</t>
  </si>
  <si>
    <t>INV052</t>
  </si>
  <si>
    <t>INV053</t>
  </si>
  <si>
    <t>29/07/2026</t>
  </si>
  <si>
    <t>INV054</t>
  </si>
  <si>
    <t>INV055</t>
  </si>
  <si>
    <t>INV056</t>
  </si>
  <si>
    <t>INV057</t>
  </si>
  <si>
    <t>INV058</t>
  </si>
  <si>
    <t>INV059</t>
  </si>
  <si>
    <t>Harddisk External 1TB</t>
  </si>
  <si>
    <t>INV060</t>
  </si>
  <si>
    <t>INV061</t>
  </si>
  <si>
    <t>INV062</t>
  </si>
  <si>
    <t>INV063</t>
  </si>
  <si>
    <t>INV064</t>
  </si>
  <si>
    <t>INV065</t>
  </si>
  <si>
    <t>INV066</t>
  </si>
  <si>
    <t>30/07/2026</t>
  </si>
  <si>
    <t>INV067</t>
  </si>
  <si>
    <t>16/07/2026</t>
  </si>
  <si>
    <t>INV068</t>
  </si>
  <si>
    <t>INV069</t>
  </si>
  <si>
    <t>INV070</t>
  </si>
  <si>
    <t>INV071</t>
  </si>
  <si>
    <t>INV072</t>
  </si>
  <si>
    <t>INV073</t>
  </si>
  <si>
    <t>INV074</t>
  </si>
  <si>
    <t>INV075</t>
  </si>
  <si>
    <t>INV076</t>
  </si>
  <si>
    <t>INV077</t>
  </si>
  <si>
    <t>Mousepad Gaming</t>
  </si>
  <si>
    <t>INV078</t>
  </si>
  <si>
    <t>INV079</t>
  </si>
  <si>
    <t>INV080</t>
  </si>
  <si>
    <t>INV081</t>
  </si>
  <si>
    <t>INV082</t>
  </si>
  <si>
    <t>INV083</t>
  </si>
  <si>
    <t>INV084</t>
  </si>
  <si>
    <t>INV085</t>
  </si>
  <si>
    <t>INV086</t>
  </si>
  <si>
    <t>INV087</t>
  </si>
  <si>
    <t>INV088</t>
  </si>
  <si>
    <t>INV089</t>
  </si>
  <si>
    <t>INV090</t>
  </si>
  <si>
    <t>INV091</t>
  </si>
  <si>
    <t>SSD Kingston 512GB</t>
  </si>
  <si>
    <t>INV092</t>
  </si>
  <si>
    <t>INV093</t>
  </si>
  <si>
    <t>INV094</t>
  </si>
  <si>
    <t>INV095</t>
  </si>
  <si>
    <t>INV096</t>
  </si>
  <si>
    <t>INV097</t>
  </si>
  <si>
    <t>INV098</t>
  </si>
  <si>
    <t>INV099</t>
  </si>
  <si>
    <t>INV100</t>
  </si>
  <si>
    <t>Daftar Produk</t>
  </si>
  <si>
    <t>Kode Produk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</si>
</sst>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/>
    <xf numFmtId="0" fontId="2" fillId="0" borderId="0" xfId="0" applyNumberFormat="1" applyFont="1"/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1C7BD-847F-40A8-9C06-4B2E5CE47DC4}">
  <dimension ref="B3:L106"/>
  <sheetViews>
    <sheetView zoomScale="85" zoomScaleNormal="85" workbookViewId="0">
      <selection activeCell="N9" sqref="N9"/>
    </sheetView>
  </sheetViews>
  <sheetFormatPr defaultRowHeight="15" x14ac:dyDescent="0.25"/>
  <sheetData>
    <row r="3" spans="2:12" ht="15.75" x14ac:dyDescent="0.25">
      <c r="B3" s="2" t="s">
        <v>0</v>
      </c>
      <c r="C3" s="2"/>
    </row>
    <row r="5" spans="2:12" x14ac:dyDescent="0.25">
      <c r="D5" t="s">
        <v>3</v>
      </c>
      <c r="E5" t="s">
        <v>1</v>
      </c>
      <c r="F5" t="s">
        <v>2</v>
      </c>
      <c r="G5" t="s">
        <v>4</v>
      </c>
      <c r="H5" t="s">
        <v>5</v>
      </c>
      <c r="I5" t="s">
        <v>6</v>
      </c>
      <c r="J5" t="s">
        <v>7</v>
      </c>
      <c r="K5" t="s">
        <v>8</v>
      </c>
      <c r="L5" t="s">
        <v>9</v>
      </c>
    </row>
    <row r="6" spans="2:12" x14ac:dyDescent="0.25">
      <c r="E6" s="3" t="s">
        <v>1</v>
      </c>
      <c r="F6" s="3" t="s">
        <v>2</v>
      </c>
      <c r="G6" s="3" t="s">
        <v>4</v>
      </c>
      <c r="H6" s="3" t="s">
        <v>5</v>
      </c>
      <c r="I6" s="3" t="s">
        <v>6</v>
      </c>
      <c r="J6" s="3" t="s">
        <v>7</v>
      </c>
      <c r="K6" s="3" t="s">
        <v>8</v>
      </c>
      <c r="L6" s="3" t="s">
        <v>9</v>
      </c>
    </row>
    <row r="7" spans="2:12" x14ac:dyDescent="0.25">
      <c r="E7" s="3" t="s">
        <v>16</v>
      </c>
      <c r="F7" s="3" t="s">
        <v>17</v>
      </c>
      <c r="G7" s="3" t="s">
        <v>18</v>
      </c>
      <c r="H7" s="3" t="s">
        <v>19</v>
      </c>
      <c r="I7" s="3">
        <v>95000</v>
      </c>
      <c r="J7" s="3">
        <v>1</v>
      </c>
      <c r="K7" s="3">
        <v>20000</v>
      </c>
      <c r="L7" s="3">
        <v>75000</v>
      </c>
    </row>
    <row r="8" spans="2:12" x14ac:dyDescent="0.25">
      <c r="E8" s="4">
        <v>46241</v>
      </c>
      <c r="F8" s="3" t="s">
        <v>20</v>
      </c>
      <c r="G8" s="3" t="s">
        <v>21</v>
      </c>
      <c r="H8" s="3" t="s">
        <v>22</v>
      </c>
      <c r="I8" s="3">
        <v>1850000</v>
      </c>
      <c r="J8" s="3">
        <v>2</v>
      </c>
      <c r="K8" s="3">
        <v>5000</v>
      </c>
      <c r="L8" s="3">
        <v>3695000</v>
      </c>
    </row>
    <row r="9" spans="2:12" x14ac:dyDescent="0.25">
      <c r="E9" s="3" t="s">
        <v>23</v>
      </c>
      <c r="F9" s="3" t="s">
        <v>24</v>
      </c>
      <c r="G9" s="3" t="s">
        <v>25</v>
      </c>
      <c r="H9" s="3" t="s">
        <v>26</v>
      </c>
      <c r="I9" s="3">
        <v>210000</v>
      </c>
      <c r="J9" s="3">
        <v>1</v>
      </c>
      <c r="K9" s="3">
        <v>50000</v>
      </c>
      <c r="L9" s="3">
        <v>160000</v>
      </c>
    </row>
    <row r="10" spans="2:12" x14ac:dyDescent="0.25">
      <c r="E10" s="4">
        <v>46060</v>
      </c>
      <c r="F10" s="3" t="s">
        <v>27</v>
      </c>
      <c r="G10" s="3" t="s">
        <v>28</v>
      </c>
      <c r="H10" s="3" t="s">
        <v>29</v>
      </c>
      <c r="I10" s="3">
        <v>125000</v>
      </c>
      <c r="J10" s="3">
        <v>1</v>
      </c>
      <c r="K10" s="3">
        <v>15000</v>
      </c>
      <c r="L10" s="3">
        <v>110000</v>
      </c>
    </row>
    <row r="11" spans="2:12" x14ac:dyDescent="0.25">
      <c r="E11" s="4">
        <v>46241</v>
      </c>
      <c r="F11" s="3" t="s">
        <v>30</v>
      </c>
      <c r="G11" s="3" t="s">
        <v>31</v>
      </c>
      <c r="H11" s="3" t="s">
        <v>32</v>
      </c>
      <c r="I11" s="3">
        <v>720000</v>
      </c>
      <c r="J11" s="3">
        <v>5</v>
      </c>
      <c r="K11" s="3">
        <v>0</v>
      </c>
      <c r="L11" s="3">
        <v>3600000</v>
      </c>
    </row>
    <row r="12" spans="2:12" x14ac:dyDescent="0.25">
      <c r="E12" s="3" t="s">
        <v>33</v>
      </c>
      <c r="F12" s="3" t="s">
        <v>34</v>
      </c>
      <c r="G12" s="3" t="s">
        <v>35</v>
      </c>
      <c r="H12" s="3" t="s">
        <v>36</v>
      </c>
      <c r="I12" s="3">
        <v>695000</v>
      </c>
      <c r="J12" s="3">
        <v>5</v>
      </c>
      <c r="K12" s="3">
        <v>50000</v>
      </c>
      <c r="L12" s="3">
        <v>3425000</v>
      </c>
    </row>
    <row r="13" spans="2:12" x14ac:dyDescent="0.25">
      <c r="E13" s="4">
        <v>46241</v>
      </c>
      <c r="F13" s="3" t="s">
        <v>37</v>
      </c>
      <c r="G13" s="3" t="s">
        <v>38</v>
      </c>
      <c r="H13" s="3" t="s">
        <v>39</v>
      </c>
      <c r="I13" s="3">
        <v>420000</v>
      </c>
      <c r="J13" s="3">
        <v>5</v>
      </c>
      <c r="K13" s="3">
        <v>20000</v>
      </c>
      <c r="L13" s="3">
        <v>2080000</v>
      </c>
    </row>
    <row r="14" spans="2:12" x14ac:dyDescent="0.25">
      <c r="E14" s="3" t="s">
        <v>40</v>
      </c>
      <c r="F14" s="3" t="s">
        <v>41</v>
      </c>
      <c r="G14" s="3" t="s">
        <v>28</v>
      </c>
      <c r="H14" s="3" t="s">
        <v>29</v>
      </c>
      <c r="I14" s="3">
        <v>125000</v>
      </c>
      <c r="J14" s="3">
        <v>2</v>
      </c>
      <c r="K14" s="3">
        <v>50000</v>
      </c>
      <c r="L14" s="3">
        <v>200000</v>
      </c>
    </row>
    <row r="15" spans="2:12" x14ac:dyDescent="0.25">
      <c r="E15" s="4">
        <v>46333</v>
      </c>
      <c r="F15" s="3" t="s">
        <v>42</v>
      </c>
      <c r="G15" s="3" t="s">
        <v>43</v>
      </c>
      <c r="H15" s="3" t="s">
        <v>44</v>
      </c>
      <c r="I15" s="3">
        <v>2450000</v>
      </c>
      <c r="J15" s="3">
        <v>2</v>
      </c>
      <c r="K15" s="3">
        <v>15000</v>
      </c>
      <c r="L15" s="3">
        <v>4885000</v>
      </c>
    </row>
    <row r="16" spans="2:12" x14ac:dyDescent="0.25">
      <c r="E16" s="3" t="s">
        <v>45</v>
      </c>
      <c r="F16" s="3" t="s">
        <v>46</v>
      </c>
      <c r="G16" s="3" t="s">
        <v>47</v>
      </c>
      <c r="H16" s="3" t="s">
        <v>29</v>
      </c>
      <c r="I16" s="3">
        <v>85000</v>
      </c>
      <c r="J16" s="3">
        <v>1</v>
      </c>
      <c r="K16" s="3">
        <v>5000</v>
      </c>
      <c r="L16" s="3">
        <v>80000</v>
      </c>
    </row>
    <row r="17" spans="5:12" x14ac:dyDescent="0.25">
      <c r="E17" s="3" t="s">
        <v>48</v>
      </c>
      <c r="F17" s="3" t="s">
        <v>49</v>
      </c>
      <c r="G17" s="3" t="s">
        <v>18</v>
      </c>
      <c r="H17" s="3" t="s">
        <v>19</v>
      </c>
      <c r="I17" s="3">
        <v>95000</v>
      </c>
      <c r="J17" s="3">
        <v>3</v>
      </c>
      <c r="K17" s="3">
        <v>25000</v>
      </c>
      <c r="L17" s="3">
        <v>260000</v>
      </c>
    </row>
    <row r="18" spans="5:12" x14ac:dyDescent="0.25">
      <c r="E18" s="3" t="s">
        <v>50</v>
      </c>
      <c r="F18" s="3" t="s">
        <v>51</v>
      </c>
      <c r="G18" s="3" t="s">
        <v>43</v>
      </c>
      <c r="H18" s="3" t="s">
        <v>44</v>
      </c>
      <c r="I18" s="3">
        <v>2450000</v>
      </c>
      <c r="J18" s="3">
        <v>1</v>
      </c>
      <c r="K18" s="3">
        <v>100000</v>
      </c>
      <c r="L18" s="3">
        <v>2350000</v>
      </c>
    </row>
    <row r="19" spans="5:12" x14ac:dyDescent="0.25">
      <c r="E19" s="3" t="s">
        <v>33</v>
      </c>
      <c r="F19" s="3" t="s">
        <v>52</v>
      </c>
      <c r="G19" s="3" t="s">
        <v>18</v>
      </c>
      <c r="H19" s="3" t="s">
        <v>19</v>
      </c>
      <c r="I19" s="3">
        <v>95000</v>
      </c>
      <c r="J19" s="3">
        <v>4</v>
      </c>
      <c r="K19" s="3">
        <v>5000</v>
      </c>
      <c r="L19" s="3">
        <v>375000</v>
      </c>
    </row>
    <row r="20" spans="5:12" x14ac:dyDescent="0.25">
      <c r="E20" s="3" t="s">
        <v>33</v>
      </c>
      <c r="F20" s="3" t="s">
        <v>53</v>
      </c>
      <c r="G20" s="3" t="s">
        <v>54</v>
      </c>
      <c r="H20" s="3" t="s">
        <v>29</v>
      </c>
      <c r="I20" s="3">
        <v>350000</v>
      </c>
      <c r="J20" s="3">
        <v>5</v>
      </c>
      <c r="K20" s="3">
        <v>25000</v>
      </c>
      <c r="L20" s="3">
        <v>1725000</v>
      </c>
    </row>
    <row r="21" spans="5:12" x14ac:dyDescent="0.25">
      <c r="E21" s="3" t="s">
        <v>55</v>
      </c>
      <c r="F21" s="3" t="s">
        <v>56</v>
      </c>
      <c r="G21" s="3" t="s">
        <v>35</v>
      </c>
      <c r="H21" s="3" t="s">
        <v>36</v>
      </c>
      <c r="I21" s="3">
        <v>695000</v>
      </c>
      <c r="J21" s="3">
        <v>1</v>
      </c>
      <c r="K21" s="3">
        <v>0</v>
      </c>
      <c r="L21" s="3">
        <v>695000</v>
      </c>
    </row>
    <row r="22" spans="5:12" x14ac:dyDescent="0.25">
      <c r="E22" s="3" t="s">
        <v>23</v>
      </c>
      <c r="F22" s="3" t="s">
        <v>57</v>
      </c>
      <c r="G22" s="3" t="s">
        <v>21</v>
      </c>
      <c r="H22" s="3" t="s">
        <v>22</v>
      </c>
      <c r="I22" s="3">
        <v>1850000</v>
      </c>
      <c r="J22" s="3">
        <v>3</v>
      </c>
      <c r="K22" s="3">
        <v>5000</v>
      </c>
      <c r="L22" s="3">
        <v>5545000</v>
      </c>
    </row>
    <row r="23" spans="5:12" x14ac:dyDescent="0.25">
      <c r="E23" s="3" t="s">
        <v>58</v>
      </c>
      <c r="F23" s="3" t="s">
        <v>59</v>
      </c>
      <c r="G23" s="3" t="s">
        <v>21</v>
      </c>
      <c r="H23" s="3" t="s">
        <v>22</v>
      </c>
      <c r="I23" s="3">
        <v>1850000</v>
      </c>
      <c r="J23" s="3">
        <v>1</v>
      </c>
      <c r="K23" s="3">
        <v>50000</v>
      </c>
      <c r="L23" s="3">
        <v>1800000</v>
      </c>
    </row>
    <row r="24" spans="5:12" x14ac:dyDescent="0.25">
      <c r="E24" s="4">
        <v>46272</v>
      </c>
      <c r="F24" s="3" t="s">
        <v>60</v>
      </c>
      <c r="G24" s="3" t="s">
        <v>38</v>
      </c>
      <c r="H24" s="3" t="s">
        <v>39</v>
      </c>
      <c r="I24" s="3">
        <v>420000</v>
      </c>
      <c r="J24" s="3">
        <v>3</v>
      </c>
      <c r="K24" s="3">
        <v>10000</v>
      </c>
      <c r="L24" s="3">
        <v>1250000</v>
      </c>
    </row>
    <row r="25" spans="5:12" x14ac:dyDescent="0.25">
      <c r="E25" s="4">
        <v>46363</v>
      </c>
      <c r="F25" s="3" t="s">
        <v>61</v>
      </c>
      <c r="G25" s="3" t="s">
        <v>62</v>
      </c>
      <c r="H25" s="3" t="s">
        <v>29</v>
      </c>
      <c r="I25" s="3">
        <v>220000</v>
      </c>
      <c r="J25" s="3">
        <v>2</v>
      </c>
      <c r="K25" s="3">
        <v>20000</v>
      </c>
      <c r="L25" s="3">
        <v>420000</v>
      </c>
    </row>
    <row r="26" spans="5:12" x14ac:dyDescent="0.25">
      <c r="E26" s="3" t="s">
        <v>63</v>
      </c>
      <c r="F26" s="3" t="s">
        <v>64</v>
      </c>
      <c r="G26" s="3" t="s">
        <v>65</v>
      </c>
      <c r="H26" s="3" t="s">
        <v>29</v>
      </c>
      <c r="I26" s="3">
        <v>275000</v>
      </c>
      <c r="J26" s="3">
        <v>5</v>
      </c>
      <c r="K26" s="3">
        <v>10000</v>
      </c>
      <c r="L26" s="3">
        <v>1365000</v>
      </c>
    </row>
    <row r="27" spans="5:12" x14ac:dyDescent="0.25">
      <c r="E27" s="3" t="s">
        <v>33</v>
      </c>
      <c r="F27" s="3" t="s">
        <v>66</v>
      </c>
      <c r="G27" s="3" t="s">
        <v>21</v>
      </c>
      <c r="H27" s="3" t="s">
        <v>22</v>
      </c>
      <c r="I27" s="3">
        <v>1850000</v>
      </c>
      <c r="J27" s="3">
        <v>2</v>
      </c>
      <c r="K27" s="3">
        <v>100000</v>
      </c>
      <c r="L27" s="3">
        <v>3600000</v>
      </c>
    </row>
    <row r="28" spans="5:12" x14ac:dyDescent="0.25">
      <c r="E28" s="3" t="s">
        <v>48</v>
      </c>
      <c r="F28" s="3" t="s">
        <v>67</v>
      </c>
      <c r="G28" s="3" t="s">
        <v>43</v>
      </c>
      <c r="H28" s="3" t="s">
        <v>44</v>
      </c>
      <c r="I28" s="3">
        <v>2450000</v>
      </c>
      <c r="J28" s="3">
        <v>5</v>
      </c>
      <c r="K28" s="3">
        <v>15000</v>
      </c>
      <c r="L28" s="3">
        <v>12235000</v>
      </c>
    </row>
    <row r="29" spans="5:12" x14ac:dyDescent="0.25">
      <c r="E29" s="3" t="s">
        <v>23</v>
      </c>
      <c r="F29" s="3" t="s">
        <v>68</v>
      </c>
      <c r="G29" s="3" t="s">
        <v>47</v>
      </c>
      <c r="H29" s="3" t="s">
        <v>29</v>
      </c>
      <c r="I29" s="3">
        <v>85000</v>
      </c>
      <c r="J29" s="3">
        <v>1</v>
      </c>
      <c r="K29" s="3">
        <v>15000</v>
      </c>
      <c r="L29" s="3">
        <v>70000</v>
      </c>
    </row>
    <row r="30" spans="5:12" x14ac:dyDescent="0.25">
      <c r="E30" s="3" t="s">
        <v>69</v>
      </c>
      <c r="F30" s="3" t="s">
        <v>70</v>
      </c>
      <c r="G30" s="3" t="s">
        <v>71</v>
      </c>
      <c r="H30" s="3" t="s">
        <v>29</v>
      </c>
      <c r="I30" s="3">
        <v>180000</v>
      </c>
      <c r="J30" s="3">
        <v>3</v>
      </c>
      <c r="K30" s="3">
        <v>50000</v>
      </c>
      <c r="L30" s="3">
        <v>490000</v>
      </c>
    </row>
    <row r="31" spans="5:12" x14ac:dyDescent="0.25">
      <c r="E31" s="4">
        <v>46272</v>
      </c>
      <c r="F31" s="3" t="s">
        <v>72</v>
      </c>
      <c r="G31" s="3" t="s">
        <v>65</v>
      </c>
      <c r="H31" s="3" t="s">
        <v>29</v>
      </c>
      <c r="I31" s="3">
        <v>275000</v>
      </c>
      <c r="J31" s="3">
        <v>2</v>
      </c>
      <c r="K31" s="3">
        <v>25000</v>
      </c>
      <c r="L31" s="3">
        <v>525000</v>
      </c>
    </row>
    <row r="32" spans="5:12" x14ac:dyDescent="0.25">
      <c r="E32" s="4">
        <v>46210</v>
      </c>
      <c r="F32" s="3" t="s">
        <v>73</v>
      </c>
      <c r="G32" s="3" t="s">
        <v>74</v>
      </c>
      <c r="H32" s="3" t="s">
        <v>39</v>
      </c>
      <c r="I32" s="3">
        <v>390000</v>
      </c>
      <c r="J32" s="3">
        <v>4</v>
      </c>
      <c r="K32" s="3">
        <v>100000</v>
      </c>
      <c r="L32" s="3">
        <v>1460000</v>
      </c>
    </row>
    <row r="33" spans="5:12" x14ac:dyDescent="0.25">
      <c r="E33" s="4">
        <v>46149</v>
      </c>
      <c r="F33" s="3" t="s">
        <v>75</v>
      </c>
      <c r="G33" s="3" t="s">
        <v>43</v>
      </c>
      <c r="H33" s="3" t="s">
        <v>44</v>
      </c>
      <c r="I33" s="3">
        <v>2450000</v>
      </c>
      <c r="J33" s="3">
        <v>2</v>
      </c>
      <c r="K33" s="3">
        <v>15000</v>
      </c>
      <c r="L33" s="3">
        <v>4885000</v>
      </c>
    </row>
    <row r="34" spans="5:12" x14ac:dyDescent="0.25">
      <c r="E34" s="3" t="s">
        <v>76</v>
      </c>
      <c r="F34" s="3" t="s">
        <v>77</v>
      </c>
      <c r="G34" s="3" t="s">
        <v>25</v>
      </c>
      <c r="H34" s="3" t="s">
        <v>26</v>
      </c>
      <c r="I34" s="3">
        <v>210000</v>
      </c>
      <c r="J34" s="3">
        <v>5</v>
      </c>
      <c r="K34" s="3">
        <v>20000</v>
      </c>
      <c r="L34" s="3">
        <v>1030000</v>
      </c>
    </row>
    <row r="35" spans="5:12" x14ac:dyDescent="0.25">
      <c r="E35" s="3" t="s">
        <v>76</v>
      </c>
      <c r="F35" s="3" t="s">
        <v>78</v>
      </c>
      <c r="G35" s="3" t="s">
        <v>79</v>
      </c>
      <c r="H35" s="3" t="s">
        <v>26</v>
      </c>
      <c r="I35" s="3">
        <v>460000</v>
      </c>
      <c r="J35" s="3">
        <v>4</v>
      </c>
      <c r="K35" s="3">
        <v>50000</v>
      </c>
      <c r="L35" s="3">
        <v>1790000</v>
      </c>
    </row>
    <row r="36" spans="5:12" x14ac:dyDescent="0.25">
      <c r="E36" s="4">
        <v>46363</v>
      </c>
      <c r="F36" s="3" t="s">
        <v>80</v>
      </c>
      <c r="G36" s="3" t="s">
        <v>21</v>
      </c>
      <c r="H36" s="3" t="s">
        <v>22</v>
      </c>
      <c r="I36" s="3">
        <v>1850000</v>
      </c>
      <c r="J36" s="3">
        <v>2</v>
      </c>
      <c r="K36" s="3">
        <v>100000</v>
      </c>
      <c r="L36" s="3">
        <v>3600000</v>
      </c>
    </row>
    <row r="37" spans="5:12" x14ac:dyDescent="0.25">
      <c r="E37" s="4">
        <v>46088</v>
      </c>
      <c r="F37" s="3" t="s">
        <v>81</v>
      </c>
      <c r="G37" s="3" t="s">
        <v>71</v>
      </c>
      <c r="H37" s="3" t="s">
        <v>29</v>
      </c>
      <c r="I37" s="3">
        <v>180000</v>
      </c>
      <c r="J37" s="3">
        <v>1</v>
      </c>
      <c r="K37" s="3">
        <v>10000</v>
      </c>
      <c r="L37" s="3">
        <v>170000</v>
      </c>
    </row>
    <row r="38" spans="5:12" x14ac:dyDescent="0.25">
      <c r="E38" s="3" t="s">
        <v>16</v>
      </c>
      <c r="F38" s="3" t="s">
        <v>82</v>
      </c>
      <c r="G38" s="3" t="s">
        <v>83</v>
      </c>
      <c r="H38" s="3" t="s">
        <v>36</v>
      </c>
      <c r="I38" s="3">
        <v>385000</v>
      </c>
      <c r="J38" s="3">
        <v>4</v>
      </c>
      <c r="K38" s="3">
        <v>5000</v>
      </c>
      <c r="L38" s="3">
        <v>1535000</v>
      </c>
    </row>
    <row r="39" spans="5:12" x14ac:dyDescent="0.25">
      <c r="E39" s="3" t="s">
        <v>48</v>
      </c>
      <c r="F39" s="3" t="s">
        <v>84</v>
      </c>
      <c r="G39" s="3" t="s">
        <v>85</v>
      </c>
      <c r="H39" s="3" t="s">
        <v>29</v>
      </c>
      <c r="I39" s="3">
        <v>180000</v>
      </c>
      <c r="J39" s="3">
        <v>5</v>
      </c>
      <c r="K39" s="3">
        <v>100000</v>
      </c>
      <c r="L39" s="3">
        <v>800000</v>
      </c>
    </row>
    <row r="40" spans="5:12" x14ac:dyDescent="0.25">
      <c r="E40" s="3" t="s">
        <v>86</v>
      </c>
      <c r="F40" s="3" t="s">
        <v>87</v>
      </c>
      <c r="G40" s="3" t="s">
        <v>43</v>
      </c>
      <c r="H40" s="3" t="s">
        <v>44</v>
      </c>
      <c r="I40" s="3">
        <v>2450000</v>
      </c>
      <c r="J40" s="3">
        <v>5</v>
      </c>
      <c r="K40" s="3">
        <v>0</v>
      </c>
      <c r="L40" s="3">
        <v>12250000</v>
      </c>
    </row>
    <row r="41" spans="5:12" x14ac:dyDescent="0.25">
      <c r="E41" s="3" t="s">
        <v>23</v>
      </c>
      <c r="F41" s="3" t="s">
        <v>88</v>
      </c>
      <c r="G41" s="3" t="s">
        <v>18</v>
      </c>
      <c r="H41" s="3" t="s">
        <v>19</v>
      </c>
      <c r="I41" s="3">
        <v>95000</v>
      </c>
      <c r="J41" s="3">
        <v>5</v>
      </c>
      <c r="K41" s="3">
        <v>20000</v>
      </c>
      <c r="L41" s="3">
        <v>455000</v>
      </c>
    </row>
    <row r="42" spans="5:12" x14ac:dyDescent="0.25">
      <c r="E42" s="3" t="s">
        <v>89</v>
      </c>
      <c r="F42" s="3" t="s">
        <v>90</v>
      </c>
      <c r="G42" s="3" t="s">
        <v>47</v>
      </c>
      <c r="H42" s="3" t="s">
        <v>29</v>
      </c>
      <c r="I42" s="3">
        <v>85000</v>
      </c>
      <c r="J42" s="3">
        <v>1</v>
      </c>
      <c r="K42" s="3">
        <v>20000</v>
      </c>
      <c r="L42" s="3">
        <v>65000</v>
      </c>
    </row>
    <row r="43" spans="5:12" x14ac:dyDescent="0.25">
      <c r="E43" s="3" t="s">
        <v>91</v>
      </c>
      <c r="F43" s="3" t="s">
        <v>92</v>
      </c>
      <c r="G43" s="3" t="s">
        <v>83</v>
      </c>
      <c r="H43" s="3" t="s">
        <v>36</v>
      </c>
      <c r="I43" s="3">
        <v>385000</v>
      </c>
      <c r="J43" s="3">
        <v>4</v>
      </c>
      <c r="K43" s="3">
        <v>0</v>
      </c>
      <c r="L43" s="3">
        <v>1540000</v>
      </c>
    </row>
    <row r="44" spans="5:12" x14ac:dyDescent="0.25">
      <c r="E44" s="3" t="s">
        <v>45</v>
      </c>
      <c r="F44" s="3" t="s">
        <v>93</v>
      </c>
      <c r="G44" s="3" t="s">
        <v>43</v>
      </c>
      <c r="H44" s="3" t="s">
        <v>44</v>
      </c>
      <c r="I44" s="3">
        <v>2450000</v>
      </c>
      <c r="J44" s="3">
        <v>5</v>
      </c>
      <c r="K44" s="3">
        <v>10000</v>
      </c>
      <c r="L44" s="3">
        <v>12240000</v>
      </c>
    </row>
    <row r="45" spans="5:12" x14ac:dyDescent="0.25">
      <c r="E45" s="3" t="s">
        <v>86</v>
      </c>
      <c r="F45" s="3" t="s">
        <v>94</v>
      </c>
      <c r="G45" s="3" t="s">
        <v>18</v>
      </c>
      <c r="H45" s="3" t="s">
        <v>19</v>
      </c>
      <c r="I45" s="3">
        <v>95000</v>
      </c>
      <c r="J45" s="3">
        <v>3</v>
      </c>
      <c r="K45" s="3">
        <v>15000</v>
      </c>
      <c r="L45" s="3">
        <v>270000</v>
      </c>
    </row>
    <row r="46" spans="5:12" x14ac:dyDescent="0.25">
      <c r="E46" s="4">
        <v>46149</v>
      </c>
      <c r="F46" s="3" t="s">
        <v>95</v>
      </c>
      <c r="G46" s="3" t="s">
        <v>62</v>
      </c>
      <c r="H46" s="3" t="s">
        <v>29</v>
      </c>
      <c r="I46" s="3">
        <v>220000</v>
      </c>
      <c r="J46" s="3">
        <v>2</v>
      </c>
      <c r="K46" s="3">
        <v>0</v>
      </c>
      <c r="L46" s="3">
        <v>440000</v>
      </c>
    </row>
    <row r="47" spans="5:12" x14ac:dyDescent="0.25">
      <c r="E47" s="3" t="s">
        <v>50</v>
      </c>
      <c r="F47" s="3" t="s">
        <v>96</v>
      </c>
      <c r="G47" s="3" t="s">
        <v>47</v>
      </c>
      <c r="H47" s="3" t="s">
        <v>29</v>
      </c>
      <c r="I47" s="3">
        <v>85000</v>
      </c>
      <c r="J47" s="3">
        <v>4</v>
      </c>
      <c r="K47" s="3">
        <v>0</v>
      </c>
      <c r="L47" s="3">
        <v>340000</v>
      </c>
    </row>
    <row r="48" spans="5:12" x14ac:dyDescent="0.25">
      <c r="E48" s="4">
        <v>46119</v>
      </c>
      <c r="F48" s="3" t="s">
        <v>97</v>
      </c>
      <c r="G48" s="3" t="s">
        <v>62</v>
      </c>
      <c r="H48" s="3" t="s">
        <v>29</v>
      </c>
      <c r="I48" s="3">
        <v>220000</v>
      </c>
      <c r="J48" s="3">
        <v>3</v>
      </c>
      <c r="K48" s="3">
        <v>15000</v>
      </c>
      <c r="L48" s="3">
        <v>645000</v>
      </c>
    </row>
    <row r="49" spans="5:12" x14ac:dyDescent="0.25">
      <c r="E49" s="4">
        <v>46060</v>
      </c>
      <c r="F49" s="3" t="s">
        <v>98</v>
      </c>
      <c r="G49" s="3" t="s">
        <v>21</v>
      </c>
      <c r="H49" s="3" t="s">
        <v>22</v>
      </c>
      <c r="I49" s="3">
        <v>1850000</v>
      </c>
      <c r="J49" s="3">
        <v>5</v>
      </c>
      <c r="K49" s="3">
        <v>5000</v>
      </c>
      <c r="L49" s="3">
        <v>9245000</v>
      </c>
    </row>
    <row r="50" spans="5:12" x14ac:dyDescent="0.25">
      <c r="E50" s="4">
        <v>46088</v>
      </c>
      <c r="F50" s="3" t="s">
        <v>99</v>
      </c>
      <c r="G50" s="3" t="s">
        <v>74</v>
      </c>
      <c r="H50" s="3" t="s">
        <v>39</v>
      </c>
      <c r="I50" s="3">
        <v>390000</v>
      </c>
      <c r="J50" s="3">
        <v>1</v>
      </c>
      <c r="K50" s="3">
        <v>10000</v>
      </c>
      <c r="L50" s="3">
        <v>380000</v>
      </c>
    </row>
    <row r="51" spans="5:12" x14ac:dyDescent="0.25">
      <c r="E51" s="4">
        <v>46149</v>
      </c>
      <c r="F51" s="3" t="s">
        <v>100</v>
      </c>
      <c r="G51" s="3" t="s">
        <v>74</v>
      </c>
      <c r="H51" s="3" t="s">
        <v>39</v>
      </c>
      <c r="I51" s="3">
        <v>390000</v>
      </c>
      <c r="J51" s="3">
        <v>5</v>
      </c>
      <c r="K51" s="3">
        <v>10000</v>
      </c>
      <c r="L51" s="3">
        <v>1940000</v>
      </c>
    </row>
    <row r="52" spans="5:12" x14ac:dyDescent="0.25">
      <c r="E52" s="4">
        <v>46272</v>
      </c>
      <c r="F52" s="3" t="s">
        <v>101</v>
      </c>
      <c r="G52" s="3" t="s">
        <v>31</v>
      </c>
      <c r="H52" s="3" t="s">
        <v>32</v>
      </c>
      <c r="I52" s="3">
        <v>720000</v>
      </c>
      <c r="J52" s="3">
        <v>5</v>
      </c>
      <c r="K52" s="3">
        <v>50000</v>
      </c>
      <c r="L52" s="3">
        <v>3550000</v>
      </c>
    </row>
    <row r="53" spans="5:12" x14ac:dyDescent="0.25">
      <c r="E53" s="3" t="s">
        <v>45</v>
      </c>
      <c r="F53" s="3" t="s">
        <v>102</v>
      </c>
      <c r="G53" s="3" t="s">
        <v>35</v>
      </c>
      <c r="H53" s="3" t="s">
        <v>36</v>
      </c>
      <c r="I53" s="3">
        <v>695000</v>
      </c>
      <c r="J53" s="3">
        <v>5</v>
      </c>
      <c r="K53" s="3">
        <v>15000</v>
      </c>
      <c r="L53" s="3">
        <v>3460000</v>
      </c>
    </row>
    <row r="54" spans="5:12" x14ac:dyDescent="0.25">
      <c r="E54" s="3" t="s">
        <v>63</v>
      </c>
      <c r="F54" s="3" t="s">
        <v>103</v>
      </c>
      <c r="G54" s="3" t="s">
        <v>54</v>
      </c>
      <c r="H54" s="3" t="s">
        <v>29</v>
      </c>
      <c r="I54" s="3">
        <v>350000</v>
      </c>
      <c r="J54" s="3">
        <v>4</v>
      </c>
      <c r="K54" s="3">
        <v>25000</v>
      </c>
      <c r="L54" s="3">
        <v>1375000</v>
      </c>
    </row>
    <row r="55" spans="5:12" x14ac:dyDescent="0.25">
      <c r="E55" s="3" t="s">
        <v>104</v>
      </c>
      <c r="F55" s="3" t="s">
        <v>105</v>
      </c>
      <c r="G55" s="3" t="s">
        <v>31</v>
      </c>
      <c r="H55" s="3" t="s">
        <v>32</v>
      </c>
      <c r="I55" s="3">
        <v>720000</v>
      </c>
      <c r="J55" s="3">
        <v>4</v>
      </c>
      <c r="K55" s="3">
        <v>5000</v>
      </c>
      <c r="L55" s="3">
        <v>2875000</v>
      </c>
    </row>
    <row r="56" spans="5:12" x14ac:dyDescent="0.25">
      <c r="E56" s="4">
        <v>46241</v>
      </c>
      <c r="F56" s="3" t="s">
        <v>106</v>
      </c>
      <c r="G56" s="3" t="s">
        <v>21</v>
      </c>
      <c r="H56" s="3" t="s">
        <v>22</v>
      </c>
      <c r="I56" s="3">
        <v>1850000</v>
      </c>
      <c r="J56" s="3">
        <v>1</v>
      </c>
      <c r="K56" s="3">
        <v>25000</v>
      </c>
      <c r="L56" s="3">
        <v>1825000</v>
      </c>
    </row>
    <row r="57" spans="5:12" x14ac:dyDescent="0.25">
      <c r="E57" s="4">
        <v>46029</v>
      </c>
      <c r="F57" s="3" t="s">
        <v>107</v>
      </c>
      <c r="G57" s="3" t="s">
        <v>79</v>
      </c>
      <c r="H57" s="3" t="s">
        <v>26</v>
      </c>
      <c r="I57" s="3">
        <v>460000</v>
      </c>
      <c r="J57" s="3">
        <v>5</v>
      </c>
      <c r="K57" s="3">
        <v>15000</v>
      </c>
      <c r="L57" s="3">
        <v>2285000</v>
      </c>
    </row>
    <row r="58" spans="5:12" x14ac:dyDescent="0.25">
      <c r="E58" s="3" t="s">
        <v>55</v>
      </c>
      <c r="F58" s="3" t="s">
        <v>108</v>
      </c>
      <c r="G58" s="3" t="s">
        <v>21</v>
      </c>
      <c r="H58" s="3" t="s">
        <v>22</v>
      </c>
      <c r="I58" s="3">
        <v>1850000</v>
      </c>
      <c r="J58" s="3">
        <v>1</v>
      </c>
      <c r="K58" s="3">
        <v>5000</v>
      </c>
      <c r="L58" s="3">
        <v>1845000</v>
      </c>
    </row>
    <row r="59" spans="5:12" x14ac:dyDescent="0.25">
      <c r="E59" s="3" t="s">
        <v>63</v>
      </c>
      <c r="F59" s="3" t="s">
        <v>109</v>
      </c>
      <c r="G59" s="3" t="s">
        <v>71</v>
      </c>
      <c r="H59" s="3" t="s">
        <v>29</v>
      </c>
      <c r="I59" s="3">
        <v>180000</v>
      </c>
      <c r="J59" s="3">
        <v>2</v>
      </c>
      <c r="K59" s="3">
        <v>5000</v>
      </c>
      <c r="L59" s="3">
        <v>355000</v>
      </c>
    </row>
    <row r="60" spans="5:12" x14ac:dyDescent="0.25">
      <c r="E60" s="3" t="s">
        <v>110</v>
      </c>
      <c r="F60" s="3" t="s">
        <v>111</v>
      </c>
      <c r="G60" s="3" t="s">
        <v>71</v>
      </c>
      <c r="H60" s="3" t="s">
        <v>29</v>
      </c>
      <c r="I60" s="3">
        <v>180000</v>
      </c>
      <c r="J60" s="3">
        <v>3</v>
      </c>
      <c r="K60" s="3">
        <v>5000</v>
      </c>
      <c r="L60" s="3">
        <v>535000</v>
      </c>
    </row>
    <row r="61" spans="5:12" x14ac:dyDescent="0.25">
      <c r="E61" s="3" t="s">
        <v>86</v>
      </c>
      <c r="F61" s="3" t="s">
        <v>112</v>
      </c>
      <c r="G61" s="3" t="s">
        <v>21</v>
      </c>
      <c r="H61" s="3" t="s">
        <v>22</v>
      </c>
      <c r="I61" s="3">
        <v>1850000</v>
      </c>
      <c r="J61" s="3">
        <v>3</v>
      </c>
      <c r="K61" s="3">
        <v>100000</v>
      </c>
      <c r="L61" s="3">
        <v>5450000</v>
      </c>
    </row>
    <row r="62" spans="5:12" x14ac:dyDescent="0.25">
      <c r="E62" s="4">
        <v>46210</v>
      </c>
      <c r="F62" s="3" t="s">
        <v>113</v>
      </c>
      <c r="G62" s="3" t="s">
        <v>25</v>
      </c>
      <c r="H62" s="3" t="s">
        <v>26</v>
      </c>
      <c r="I62" s="3">
        <v>210000</v>
      </c>
      <c r="J62" s="3">
        <v>2</v>
      </c>
      <c r="K62" s="3">
        <v>100000</v>
      </c>
      <c r="L62" s="3">
        <v>320000</v>
      </c>
    </row>
    <row r="63" spans="5:12" x14ac:dyDescent="0.25">
      <c r="E63" s="4">
        <v>46241</v>
      </c>
      <c r="F63" s="3" t="s">
        <v>114</v>
      </c>
      <c r="G63" s="3" t="s">
        <v>74</v>
      </c>
      <c r="H63" s="3" t="s">
        <v>39</v>
      </c>
      <c r="I63" s="3">
        <v>390000</v>
      </c>
      <c r="J63" s="3">
        <v>4</v>
      </c>
      <c r="K63" s="3">
        <v>15000</v>
      </c>
      <c r="L63" s="3">
        <v>1545000</v>
      </c>
    </row>
    <row r="64" spans="5:12" x14ac:dyDescent="0.25">
      <c r="E64" s="4">
        <v>46119</v>
      </c>
      <c r="F64" s="3" t="s">
        <v>115</v>
      </c>
      <c r="G64" s="3" t="s">
        <v>18</v>
      </c>
      <c r="H64" s="3" t="s">
        <v>19</v>
      </c>
      <c r="I64" s="3">
        <v>95000</v>
      </c>
      <c r="J64" s="3">
        <v>4</v>
      </c>
      <c r="K64" s="3">
        <v>25000</v>
      </c>
      <c r="L64" s="3">
        <v>355000</v>
      </c>
    </row>
    <row r="65" spans="5:12" x14ac:dyDescent="0.25">
      <c r="E65" s="3" t="s">
        <v>91</v>
      </c>
      <c r="F65" s="3" t="s">
        <v>116</v>
      </c>
      <c r="G65" s="3" t="s">
        <v>117</v>
      </c>
      <c r="H65" s="3" t="s">
        <v>19</v>
      </c>
      <c r="I65" s="3">
        <v>950000</v>
      </c>
      <c r="J65" s="3">
        <v>4</v>
      </c>
      <c r="K65" s="3">
        <v>0</v>
      </c>
      <c r="L65" s="3">
        <v>3800000</v>
      </c>
    </row>
    <row r="66" spans="5:12" x14ac:dyDescent="0.25">
      <c r="E66" s="3" t="s">
        <v>23</v>
      </c>
      <c r="F66" s="3" t="s">
        <v>118</v>
      </c>
      <c r="G66" s="3" t="s">
        <v>18</v>
      </c>
      <c r="H66" s="3" t="s">
        <v>19</v>
      </c>
      <c r="I66" s="3">
        <v>95000</v>
      </c>
      <c r="J66" s="3">
        <v>1</v>
      </c>
      <c r="K66" s="3">
        <v>50000</v>
      </c>
      <c r="L66" s="3">
        <v>45000</v>
      </c>
    </row>
    <row r="67" spans="5:12" x14ac:dyDescent="0.25">
      <c r="E67" s="3" t="s">
        <v>76</v>
      </c>
      <c r="F67" s="3" t="s">
        <v>119</v>
      </c>
      <c r="G67" s="3" t="s">
        <v>47</v>
      </c>
      <c r="H67" s="3" t="s">
        <v>29</v>
      </c>
      <c r="I67" s="3">
        <v>85000</v>
      </c>
      <c r="J67" s="3">
        <v>1</v>
      </c>
      <c r="K67" s="3">
        <v>15000</v>
      </c>
      <c r="L67" s="3">
        <v>70000</v>
      </c>
    </row>
    <row r="68" spans="5:12" x14ac:dyDescent="0.25">
      <c r="E68" s="4">
        <v>46210</v>
      </c>
      <c r="F68" s="3" t="s">
        <v>120</v>
      </c>
      <c r="G68" s="3" t="s">
        <v>35</v>
      </c>
      <c r="H68" s="3" t="s">
        <v>36</v>
      </c>
      <c r="I68" s="3">
        <v>695000</v>
      </c>
      <c r="J68" s="3">
        <v>5</v>
      </c>
      <c r="K68" s="3">
        <v>100000</v>
      </c>
      <c r="L68" s="3">
        <v>3375000</v>
      </c>
    </row>
    <row r="69" spans="5:12" x14ac:dyDescent="0.25">
      <c r="E69" s="4">
        <v>46149</v>
      </c>
      <c r="F69" s="3" t="s">
        <v>121</v>
      </c>
      <c r="G69" s="3" t="s">
        <v>117</v>
      </c>
      <c r="H69" s="3" t="s">
        <v>19</v>
      </c>
      <c r="I69" s="3">
        <v>950000</v>
      </c>
      <c r="J69" s="3">
        <v>2</v>
      </c>
      <c r="K69" s="3">
        <v>20000</v>
      </c>
      <c r="L69" s="3">
        <v>1880000</v>
      </c>
    </row>
    <row r="70" spans="5:12" x14ac:dyDescent="0.25">
      <c r="E70" s="3" t="s">
        <v>104</v>
      </c>
      <c r="F70" s="3" t="s">
        <v>122</v>
      </c>
      <c r="G70" s="3" t="s">
        <v>21</v>
      </c>
      <c r="H70" s="3" t="s">
        <v>22</v>
      </c>
      <c r="I70" s="3">
        <v>1850000</v>
      </c>
      <c r="J70" s="3">
        <v>1</v>
      </c>
      <c r="K70" s="3">
        <v>100000</v>
      </c>
      <c r="L70" s="3">
        <v>1750000</v>
      </c>
    </row>
    <row r="71" spans="5:12" x14ac:dyDescent="0.25">
      <c r="E71" s="3" t="s">
        <v>40</v>
      </c>
      <c r="F71" s="3" t="s">
        <v>123</v>
      </c>
      <c r="G71" s="3" t="s">
        <v>25</v>
      </c>
      <c r="H71" s="3" t="s">
        <v>26</v>
      </c>
      <c r="I71" s="3">
        <v>210000</v>
      </c>
      <c r="J71" s="3">
        <v>1</v>
      </c>
      <c r="K71" s="3">
        <v>0</v>
      </c>
      <c r="L71" s="3">
        <v>210000</v>
      </c>
    </row>
    <row r="72" spans="5:12" x14ac:dyDescent="0.25">
      <c r="E72" s="3" t="s">
        <v>16</v>
      </c>
      <c r="F72" s="3" t="s">
        <v>124</v>
      </c>
      <c r="G72" s="3" t="s">
        <v>25</v>
      </c>
      <c r="H72" s="3" t="s">
        <v>26</v>
      </c>
      <c r="I72" s="3">
        <v>210000</v>
      </c>
      <c r="J72" s="3">
        <v>1</v>
      </c>
      <c r="K72" s="3">
        <v>5000</v>
      </c>
      <c r="L72" s="3">
        <v>205000</v>
      </c>
    </row>
    <row r="73" spans="5:12" x14ac:dyDescent="0.25">
      <c r="E73" s="3" t="s">
        <v>125</v>
      </c>
      <c r="F73" s="3" t="s">
        <v>126</v>
      </c>
      <c r="G73" s="3" t="s">
        <v>21</v>
      </c>
      <c r="H73" s="3" t="s">
        <v>22</v>
      </c>
      <c r="I73" s="3">
        <v>1850000</v>
      </c>
      <c r="J73" s="3">
        <v>2</v>
      </c>
      <c r="K73" s="3">
        <v>50000</v>
      </c>
      <c r="L73" s="3">
        <v>3650000</v>
      </c>
    </row>
    <row r="74" spans="5:12" x14ac:dyDescent="0.25">
      <c r="E74" s="3" t="s">
        <v>127</v>
      </c>
      <c r="F74" s="3" t="s">
        <v>128</v>
      </c>
      <c r="G74" s="3" t="s">
        <v>74</v>
      </c>
      <c r="H74" s="3" t="s">
        <v>39</v>
      </c>
      <c r="I74" s="3">
        <v>390000</v>
      </c>
      <c r="J74" s="3">
        <v>2</v>
      </c>
      <c r="K74" s="3">
        <v>50000</v>
      </c>
      <c r="L74" s="3">
        <v>730000</v>
      </c>
    </row>
    <row r="75" spans="5:12" x14ac:dyDescent="0.25">
      <c r="E75" s="3" t="s">
        <v>110</v>
      </c>
      <c r="F75" s="3" t="s">
        <v>129</v>
      </c>
      <c r="G75" s="3" t="s">
        <v>71</v>
      </c>
      <c r="H75" s="3" t="s">
        <v>29</v>
      </c>
      <c r="I75" s="3">
        <v>180000</v>
      </c>
      <c r="J75" s="3">
        <v>2</v>
      </c>
      <c r="K75" s="3">
        <v>50000</v>
      </c>
      <c r="L75" s="3">
        <v>310000</v>
      </c>
    </row>
    <row r="76" spans="5:12" x14ac:dyDescent="0.25">
      <c r="E76" s="4">
        <v>46029</v>
      </c>
      <c r="F76" s="3" t="s">
        <v>130</v>
      </c>
      <c r="G76" s="3" t="s">
        <v>85</v>
      </c>
      <c r="H76" s="3" t="s">
        <v>29</v>
      </c>
      <c r="I76" s="3">
        <v>180000</v>
      </c>
      <c r="J76" s="3">
        <v>3</v>
      </c>
      <c r="K76" s="3">
        <v>100000</v>
      </c>
      <c r="L76" s="3">
        <v>440000</v>
      </c>
    </row>
    <row r="77" spans="5:12" x14ac:dyDescent="0.25">
      <c r="E77" s="4">
        <v>46302</v>
      </c>
      <c r="F77" s="3" t="s">
        <v>131</v>
      </c>
      <c r="G77" s="3" t="s">
        <v>117</v>
      </c>
      <c r="H77" s="3" t="s">
        <v>19</v>
      </c>
      <c r="I77" s="3">
        <v>950000</v>
      </c>
      <c r="J77" s="3">
        <v>5</v>
      </c>
      <c r="K77" s="3">
        <v>100000</v>
      </c>
      <c r="L77" s="3">
        <v>4650000</v>
      </c>
    </row>
    <row r="78" spans="5:12" x14ac:dyDescent="0.25">
      <c r="E78" s="4">
        <v>46149</v>
      </c>
      <c r="F78" s="3" t="s">
        <v>132</v>
      </c>
      <c r="G78" s="3" t="s">
        <v>35</v>
      </c>
      <c r="H78" s="3" t="s">
        <v>36</v>
      </c>
      <c r="I78" s="3">
        <v>695000</v>
      </c>
      <c r="J78" s="3">
        <v>3</v>
      </c>
      <c r="K78" s="3">
        <v>15000</v>
      </c>
      <c r="L78" s="3">
        <v>2070000</v>
      </c>
    </row>
    <row r="79" spans="5:12" x14ac:dyDescent="0.25">
      <c r="E79" s="3" t="s">
        <v>45</v>
      </c>
      <c r="F79" s="3" t="s">
        <v>133</v>
      </c>
      <c r="G79" s="3" t="s">
        <v>71</v>
      </c>
      <c r="H79" s="3" t="s">
        <v>29</v>
      </c>
      <c r="I79" s="3">
        <v>180000</v>
      </c>
      <c r="J79" s="3">
        <v>5</v>
      </c>
      <c r="K79" s="3">
        <v>0</v>
      </c>
      <c r="L79" s="3">
        <v>900000</v>
      </c>
    </row>
    <row r="80" spans="5:12" x14ac:dyDescent="0.25">
      <c r="E80" s="3" t="s">
        <v>76</v>
      </c>
      <c r="F80" s="3" t="s">
        <v>134</v>
      </c>
      <c r="G80" s="3" t="s">
        <v>47</v>
      </c>
      <c r="H80" s="3" t="s">
        <v>29</v>
      </c>
      <c r="I80" s="3">
        <v>85000</v>
      </c>
      <c r="J80" s="3">
        <v>1</v>
      </c>
      <c r="K80" s="3">
        <v>0</v>
      </c>
      <c r="L80" s="3">
        <v>85000</v>
      </c>
    </row>
    <row r="81" spans="5:12" x14ac:dyDescent="0.25">
      <c r="E81" s="3" t="s">
        <v>55</v>
      </c>
      <c r="F81" s="3" t="s">
        <v>135</v>
      </c>
      <c r="G81" s="3" t="s">
        <v>74</v>
      </c>
      <c r="H81" s="3" t="s">
        <v>39</v>
      </c>
      <c r="I81" s="3">
        <v>390000</v>
      </c>
      <c r="J81" s="3">
        <v>5</v>
      </c>
      <c r="K81" s="3">
        <v>10000</v>
      </c>
      <c r="L81" s="3">
        <v>1940000</v>
      </c>
    </row>
    <row r="82" spans="5:12" x14ac:dyDescent="0.25">
      <c r="E82" s="4">
        <v>46060</v>
      </c>
      <c r="F82" s="3" t="s">
        <v>136</v>
      </c>
      <c r="G82" s="3" t="s">
        <v>31</v>
      </c>
      <c r="H82" s="3" t="s">
        <v>32</v>
      </c>
      <c r="I82" s="3">
        <v>720000</v>
      </c>
      <c r="J82" s="3">
        <v>1</v>
      </c>
      <c r="K82" s="3">
        <v>10000</v>
      </c>
      <c r="L82" s="3">
        <v>710000</v>
      </c>
    </row>
    <row r="83" spans="5:12" x14ac:dyDescent="0.25">
      <c r="E83" s="4">
        <v>46088</v>
      </c>
      <c r="F83" s="3" t="s">
        <v>137</v>
      </c>
      <c r="G83" s="3" t="s">
        <v>138</v>
      </c>
      <c r="H83" s="3" t="s">
        <v>29</v>
      </c>
      <c r="I83" s="3">
        <v>75000</v>
      </c>
      <c r="J83" s="3">
        <v>1</v>
      </c>
      <c r="K83" s="3">
        <v>15000</v>
      </c>
      <c r="L83" s="3">
        <v>60000</v>
      </c>
    </row>
    <row r="84" spans="5:12" x14ac:dyDescent="0.25">
      <c r="E84" s="3" t="s">
        <v>48</v>
      </c>
      <c r="F84" s="3" t="s">
        <v>139</v>
      </c>
      <c r="G84" s="3" t="s">
        <v>18</v>
      </c>
      <c r="H84" s="3" t="s">
        <v>19</v>
      </c>
      <c r="I84" s="3">
        <v>95000</v>
      </c>
      <c r="J84" s="3">
        <v>5</v>
      </c>
      <c r="K84" s="3">
        <v>15000</v>
      </c>
      <c r="L84" s="3">
        <v>460000</v>
      </c>
    </row>
    <row r="85" spans="5:12" x14ac:dyDescent="0.25">
      <c r="E85" s="3" t="s">
        <v>55</v>
      </c>
      <c r="F85" s="3" t="s">
        <v>140</v>
      </c>
      <c r="G85" s="3" t="s">
        <v>138</v>
      </c>
      <c r="H85" s="3" t="s">
        <v>29</v>
      </c>
      <c r="I85" s="3">
        <v>75000</v>
      </c>
      <c r="J85" s="3">
        <v>1</v>
      </c>
      <c r="K85" s="3">
        <v>5000</v>
      </c>
      <c r="L85" s="3">
        <v>70000</v>
      </c>
    </row>
    <row r="86" spans="5:12" x14ac:dyDescent="0.25">
      <c r="E86" s="3" t="s">
        <v>91</v>
      </c>
      <c r="F86" s="3" t="s">
        <v>141</v>
      </c>
      <c r="G86" s="3" t="s">
        <v>79</v>
      </c>
      <c r="H86" s="3" t="s">
        <v>26</v>
      </c>
      <c r="I86" s="3">
        <v>460000</v>
      </c>
      <c r="J86" s="3">
        <v>5</v>
      </c>
      <c r="K86" s="3">
        <v>25000</v>
      </c>
      <c r="L86" s="3">
        <v>2275000</v>
      </c>
    </row>
    <row r="87" spans="5:12" x14ac:dyDescent="0.25">
      <c r="E87" s="3" t="s">
        <v>125</v>
      </c>
      <c r="F87" s="3" t="s">
        <v>142</v>
      </c>
      <c r="G87" s="3" t="s">
        <v>43</v>
      </c>
      <c r="H87" s="3" t="s">
        <v>44</v>
      </c>
      <c r="I87" s="3">
        <v>2450000</v>
      </c>
      <c r="J87" s="3">
        <v>2</v>
      </c>
      <c r="K87" s="3">
        <v>25000</v>
      </c>
      <c r="L87" s="3">
        <v>4875000</v>
      </c>
    </row>
    <row r="88" spans="5:12" x14ac:dyDescent="0.25">
      <c r="E88" s="4">
        <v>46241</v>
      </c>
      <c r="F88" s="3" t="s">
        <v>143</v>
      </c>
      <c r="G88" s="3" t="s">
        <v>43</v>
      </c>
      <c r="H88" s="3" t="s">
        <v>44</v>
      </c>
      <c r="I88" s="3">
        <v>2450000</v>
      </c>
      <c r="J88" s="3">
        <v>4</v>
      </c>
      <c r="K88" s="3">
        <v>10000</v>
      </c>
      <c r="L88" s="3">
        <v>9790000</v>
      </c>
    </row>
    <row r="89" spans="5:12" x14ac:dyDescent="0.25">
      <c r="E89" s="3" t="s">
        <v>23</v>
      </c>
      <c r="F89" s="3" t="s">
        <v>144</v>
      </c>
      <c r="G89" s="3" t="s">
        <v>54</v>
      </c>
      <c r="H89" s="3" t="s">
        <v>29</v>
      </c>
      <c r="I89" s="3">
        <v>350000</v>
      </c>
      <c r="J89" s="3">
        <v>4</v>
      </c>
      <c r="K89" s="3">
        <v>25000</v>
      </c>
      <c r="L89" s="3">
        <v>1375000</v>
      </c>
    </row>
    <row r="90" spans="5:12" x14ac:dyDescent="0.25">
      <c r="E90" s="3" t="s">
        <v>125</v>
      </c>
      <c r="F90" s="3" t="s">
        <v>145</v>
      </c>
      <c r="G90" s="3" t="s">
        <v>65</v>
      </c>
      <c r="H90" s="3" t="s">
        <v>29</v>
      </c>
      <c r="I90" s="3">
        <v>275000</v>
      </c>
      <c r="J90" s="3">
        <v>1</v>
      </c>
      <c r="K90" s="3">
        <v>100000</v>
      </c>
      <c r="L90" s="3">
        <v>175000</v>
      </c>
    </row>
    <row r="91" spans="5:12" x14ac:dyDescent="0.25">
      <c r="E91" s="3" t="s">
        <v>50</v>
      </c>
      <c r="F91" s="3" t="s">
        <v>146</v>
      </c>
      <c r="G91" s="3" t="s">
        <v>79</v>
      </c>
      <c r="H91" s="3" t="s">
        <v>26</v>
      </c>
      <c r="I91" s="3">
        <v>460000</v>
      </c>
      <c r="J91" s="3">
        <v>1</v>
      </c>
      <c r="K91" s="3">
        <v>5000</v>
      </c>
      <c r="L91" s="3">
        <v>455000</v>
      </c>
    </row>
    <row r="92" spans="5:12" x14ac:dyDescent="0.25">
      <c r="E92" s="3" t="s">
        <v>33</v>
      </c>
      <c r="F92" s="3" t="s">
        <v>147</v>
      </c>
      <c r="G92" s="3" t="s">
        <v>35</v>
      </c>
      <c r="H92" s="3" t="s">
        <v>36</v>
      </c>
      <c r="I92" s="3">
        <v>695000</v>
      </c>
      <c r="J92" s="3">
        <v>5</v>
      </c>
      <c r="K92" s="3">
        <v>20000</v>
      </c>
      <c r="L92" s="3">
        <v>3455000</v>
      </c>
    </row>
    <row r="93" spans="5:12" x14ac:dyDescent="0.25">
      <c r="E93" s="4">
        <v>46149</v>
      </c>
      <c r="F93" s="3" t="s">
        <v>148</v>
      </c>
      <c r="G93" s="3" t="s">
        <v>62</v>
      </c>
      <c r="H93" s="3" t="s">
        <v>29</v>
      </c>
      <c r="I93" s="3">
        <v>220000</v>
      </c>
      <c r="J93" s="3">
        <v>1</v>
      </c>
      <c r="K93" s="3">
        <v>15000</v>
      </c>
      <c r="L93" s="3">
        <v>205000</v>
      </c>
    </row>
    <row r="94" spans="5:12" x14ac:dyDescent="0.25">
      <c r="E94" s="4">
        <v>46363</v>
      </c>
      <c r="F94" s="3" t="s">
        <v>149</v>
      </c>
      <c r="G94" s="3" t="s">
        <v>54</v>
      </c>
      <c r="H94" s="3" t="s">
        <v>29</v>
      </c>
      <c r="I94" s="3">
        <v>350000</v>
      </c>
      <c r="J94" s="3">
        <v>2</v>
      </c>
      <c r="K94" s="3">
        <v>100000</v>
      </c>
      <c r="L94" s="3">
        <v>600000</v>
      </c>
    </row>
    <row r="95" spans="5:12" x14ac:dyDescent="0.25">
      <c r="E95" s="3" t="s">
        <v>69</v>
      </c>
      <c r="F95" s="3" t="s">
        <v>150</v>
      </c>
      <c r="G95" s="3" t="s">
        <v>25</v>
      </c>
      <c r="H95" s="3" t="s">
        <v>26</v>
      </c>
      <c r="I95" s="3">
        <v>210000</v>
      </c>
      <c r="J95" s="3">
        <v>3</v>
      </c>
      <c r="K95" s="3">
        <v>0</v>
      </c>
      <c r="L95" s="3">
        <v>630000</v>
      </c>
    </row>
    <row r="96" spans="5:12" x14ac:dyDescent="0.25">
      <c r="E96" s="3" t="s">
        <v>23</v>
      </c>
      <c r="F96" s="3" t="s">
        <v>151</v>
      </c>
      <c r="G96" s="3" t="s">
        <v>25</v>
      </c>
      <c r="H96" s="3" t="s">
        <v>26</v>
      </c>
      <c r="I96" s="3">
        <v>210000</v>
      </c>
      <c r="J96" s="3">
        <v>3</v>
      </c>
      <c r="K96" s="3">
        <v>5000</v>
      </c>
      <c r="L96" s="3">
        <v>625000</v>
      </c>
    </row>
    <row r="97" spans="5:12" x14ac:dyDescent="0.25">
      <c r="E97" s="3" t="s">
        <v>45</v>
      </c>
      <c r="F97" s="3" t="s">
        <v>152</v>
      </c>
      <c r="G97" s="3" t="s">
        <v>153</v>
      </c>
      <c r="H97" s="3" t="s">
        <v>19</v>
      </c>
      <c r="I97" s="3">
        <v>725000</v>
      </c>
      <c r="J97" s="3">
        <v>3</v>
      </c>
      <c r="K97" s="3">
        <v>5000</v>
      </c>
      <c r="L97" s="3">
        <v>2170000</v>
      </c>
    </row>
    <row r="98" spans="5:12" x14ac:dyDescent="0.25">
      <c r="E98" s="3" t="s">
        <v>110</v>
      </c>
      <c r="F98" s="3" t="s">
        <v>154</v>
      </c>
      <c r="G98" s="3" t="s">
        <v>18</v>
      </c>
      <c r="H98" s="3" t="s">
        <v>19</v>
      </c>
      <c r="I98" s="3">
        <v>95000</v>
      </c>
      <c r="J98" s="3">
        <v>5</v>
      </c>
      <c r="K98" s="3">
        <v>10000</v>
      </c>
      <c r="L98" s="3">
        <v>465000</v>
      </c>
    </row>
    <row r="99" spans="5:12" x14ac:dyDescent="0.25">
      <c r="E99" s="4">
        <v>46272</v>
      </c>
      <c r="F99" s="3" t="s">
        <v>155</v>
      </c>
      <c r="G99" s="3" t="s">
        <v>54</v>
      </c>
      <c r="H99" s="3" t="s">
        <v>29</v>
      </c>
      <c r="I99" s="3">
        <v>350000</v>
      </c>
      <c r="J99" s="3">
        <v>5</v>
      </c>
      <c r="K99" s="3">
        <v>15000</v>
      </c>
      <c r="L99" s="3">
        <v>1735000</v>
      </c>
    </row>
    <row r="100" spans="5:12" x14ac:dyDescent="0.25">
      <c r="E100" s="3" t="s">
        <v>63</v>
      </c>
      <c r="F100" s="3" t="s">
        <v>156</v>
      </c>
      <c r="G100" s="3" t="s">
        <v>47</v>
      </c>
      <c r="H100" s="3" t="s">
        <v>29</v>
      </c>
      <c r="I100" s="3">
        <v>85000</v>
      </c>
      <c r="J100" s="3">
        <v>2</v>
      </c>
      <c r="K100" s="3">
        <v>20000</v>
      </c>
      <c r="L100" s="3">
        <v>150000</v>
      </c>
    </row>
    <row r="101" spans="5:12" x14ac:dyDescent="0.25">
      <c r="E101" s="3" t="s">
        <v>86</v>
      </c>
      <c r="F101" s="3" t="s">
        <v>157</v>
      </c>
      <c r="G101" s="3" t="s">
        <v>74</v>
      </c>
      <c r="H101" s="3" t="s">
        <v>39</v>
      </c>
      <c r="I101" s="3">
        <v>390000</v>
      </c>
      <c r="J101" s="3">
        <v>3</v>
      </c>
      <c r="K101" s="3">
        <v>0</v>
      </c>
      <c r="L101" s="3">
        <v>1170000</v>
      </c>
    </row>
    <row r="102" spans="5:12" x14ac:dyDescent="0.25">
      <c r="E102" s="4">
        <v>46088</v>
      </c>
      <c r="F102" s="3" t="s">
        <v>158</v>
      </c>
      <c r="G102" s="3" t="s">
        <v>117</v>
      </c>
      <c r="H102" s="3" t="s">
        <v>19</v>
      </c>
      <c r="I102" s="3">
        <v>950000</v>
      </c>
      <c r="J102" s="3">
        <v>3</v>
      </c>
      <c r="K102" s="3">
        <v>0</v>
      </c>
      <c r="L102" s="3">
        <v>2850000</v>
      </c>
    </row>
    <row r="103" spans="5:12" x14ac:dyDescent="0.25">
      <c r="E103" s="4">
        <v>46029</v>
      </c>
      <c r="F103" s="3" t="s">
        <v>159</v>
      </c>
      <c r="G103" s="3" t="s">
        <v>47</v>
      </c>
      <c r="H103" s="3" t="s">
        <v>29</v>
      </c>
      <c r="I103" s="3">
        <v>85000</v>
      </c>
      <c r="J103" s="3">
        <v>2</v>
      </c>
      <c r="K103" s="3">
        <v>20000</v>
      </c>
      <c r="L103" s="3">
        <v>150000</v>
      </c>
    </row>
    <row r="104" spans="5:12" x14ac:dyDescent="0.25">
      <c r="E104" s="4">
        <v>46180</v>
      </c>
      <c r="F104" s="3" t="s">
        <v>160</v>
      </c>
      <c r="G104" s="3" t="s">
        <v>38</v>
      </c>
      <c r="H104" s="3" t="s">
        <v>39</v>
      </c>
      <c r="I104" s="3">
        <v>420000</v>
      </c>
      <c r="J104" s="3">
        <v>5</v>
      </c>
      <c r="K104" s="3">
        <v>50000</v>
      </c>
      <c r="L104" s="3">
        <v>2050000</v>
      </c>
    </row>
    <row r="105" spans="5:12" x14ac:dyDescent="0.25">
      <c r="E105" s="3" t="s">
        <v>33</v>
      </c>
      <c r="F105" s="3" t="s">
        <v>161</v>
      </c>
      <c r="G105" s="3" t="s">
        <v>28</v>
      </c>
      <c r="H105" s="3" t="s">
        <v>29</v>
      </c>
      <c r="I105" s="3">
        <v>125000</v>
      </c>
      <c r="J105" s="3">
        <v>1</v>
      </c>
      <c r="K105" s="3">
        <v>5000</v>
      </c>
      <c r="L105" s="3">
        <v>120000</v>
      </c>
    </row>
    <row r="106" spans="5:12" x14ac:dyDescent="0.25">
      <c r="E106" s="3" t="s">
        <v>45</v>
      </c>
      <c r="F106" s="3" t="s">
        <v>162</v>
      </c>
      <c r="G106" s="3" t="s">
        <v>153</v>
      </c>
      <c r="H106" s="3" t="s">
        <v>19</v>
      </c>
      <c r="I106" s="3">
        <v>725000</v>
      </c>
      <c r="J106" s="3">
        <v>5</v>
      </c>
      <c r="K106" s="3">
        <v>0</v>
      </c>
      <c r="L106" s="3">
        <v>3625000</v>
      </c>
    </row>
  </sheetData>
  <mergeCells count="1">
    <mergeCell ref="B3:C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5B554-E764-447C-AC09-23805B76D7ED}">
  <dimension ref="B2:H23"/>
  <sheetViews>
    <sheetView tabSelected="1" zoomScaleNormal="100" workbookViewId="0">
      <selection activeCell="J17" sqref="J17"/>
    </sheetView>
  </sheetViews>
  <sheetFormatPr defaultRowHeight="21.75" customHeight="1" x14ac:dyDescent="0.25"/>
  <cols>
    <col min="4" max="4" width="3.5703125" bestFit="1" customWidth="1"/>
    <col min="5" max="5" width="22.140625" customWidth="1"/>
    <col min="6" max="6" width="14.140625" customWidth="1"/>
    <col min="7" max="7" width="11.42578125" customWidth="1"/>
  </cols>
  <sheetData>
    <row r="2" spans="2:8" ht="21.75" customHeight="1" x14ac:dyDescent="0.25">
      <c r="B2" s="1" t="s">
        <v>163</v>
      </c>
      <c r="C2" s="1"/>
    </row>
    <row r="3" spans="2:8" ht="21.75" customHeight="1" x14ac:dyDescent="0.25">
      <c r="D3" t="s">
        <v>3</v>
      </c>
      <c r="E3" t="s">
        <v>164</v>
      </c>
      <c r="F3" t="s">
        <v>4</v>
      </c>
      <c r="G3" t="s">
        <v>5</v>
      </c>
      <c r="H3" t="s">
        <v>6</v>
      </c>
    </row>
    <row r="4" spans="2:8" ht="21.75" customHeight="1" x14ac:dyDescent="0.25">
      <c r="D4" s="5">
        <v>1</v>
      </c>
      <c r="E4" t="str">
        <f>"PR"&amp;TEXT(ROW()-3,"000")</f>
        <v>PR001</v>
      </c>
      <c r="F4" s="5" t="s">
        <v>28</v>
      </c>
      <c r="G4" s="5" t="s">
        <v>29</v>
      </c>
      <c r="H4" s="5">
        <v>125000</v>
      </c>
    </row>
    <row r="5" spans="2:8" ht="21.75" customHeight="1" x14ac:dyDescent="0.25">
      <c r="D5" s="5">
        <v>2</v>
      </c>
      <c r="E5" t="str">
        <f t="shared" ref="E5:E23" si="0">"PR"&amp;TEXT(ROW()-3,"000")</f>
        <v>PR002</v>
      </c>
      <c r="F5" s="5" t="s">
        <v>71</v>
      </c>
      <c r="G5" s="5" t="s">
        <v>29</v>
      </c>
      <c r="H5" s="5">
        <v>180000</v>
      </c>
    </row>
    <row r="6" spans="2:8" ht="21.75" customHeight="1" x14ac:dyDescent="0.25">
      <c r="D6" s="5">
        <v>3</v>
      </c>
      <c r="E6" t="str">
        <f t="shared" si="0"/>
        <v>PR003</v>
      </c>
      <c r="F6" s="5" t="s">
        <v>65</v>
      </c>
      <c r="G6" s="5" t="s">
        <v>29</v>
      </c>
      <c r="H6" s="5">
        <v>275000</v>
      </c>
    </row>
    <row r="7" spans="2:8" ht="21.75" customHeight="1" x14ac:dyDescent="0.25">
      <c r="D7" s="5">
        <v>4</v>
      </c>
      <c r="E7" t="str">
        <f t="shared" si="0"/>
        <v>PR004</v>
      </c>
      <c r="F7" s="5" t="s">
        <v>18</v>
      </c>
      <c r="G7" s="5" t="s">
        <v>19</v>
      </c>
      <c r="H7" s="5">
        <v>95000</v>
      </c>
    </row>
    <row r="8" spans="2:8" ht="21.75" customHeight="1" x14ac:dyDescent="0.25">
      <c r="D8" s="5">
        <v>5</v>
      </c>
      <c r="E8" t="str">
        <f t="shared" si="0"/>
        <v>PR005</v>
      </c>
      <c r="F8" s="5" t="s">
        <v>153</v>
      </c>
      <c r="G8" s="5" t="s">
        <v>19</v>
      </c>
      <c r="H8" s="5">
        <v>725000</v>
      </c>
    </row>
    <row r="9" spans="2:8" ht="21.75" customHeight="1" x14ac:dyDescent="0.25">
      <c r="D9" s="5">
        <v>6</v>
      </c>
      <c r="E9" t="str">
        <f t="shared" si="0"/>
        <v>PR006</v>
      </c>
      <c r="F9" s="5" t="s">
        <v>83</v>
      </c>
      <c r="G9" s="5" t="s">
        <v>36</v>
      </c>
      <c r="H9" s="5">
        <v>385000</v>
      </c>
    </row>
    <row r="10" spans="2:8" ht="21.75" customHeight="1" x14ac:dyDescent="0.25">
      <c r="D10" s="5">
        <v>7</v>
      </c>
      <c r="E10" t="str">
        <f t="shared" si="0"/>
        <v>PR007</v>
      </c>
      <c r="F10" s="5" t="s">
        <v>35</v>
      </c>
      <c r="G10" s="5" t="s">
        <v>36</v>
      </c>
      <c r="H10" s="5">
        <v>695000</v>
      </c>
    </row>
    <row r="11" spans="2:8" ht="21.75" customHeight="1" x14ac:dyDescent="0.25">
      <c r="D11" s="5">
        <v>8</v>
      </c>
      <c r="E11" t="str">
        <f t="shared" si="0"/>
        <v>PR008</v>
      </c>
      <c r="F11" s="5" t="s">
        <v>21</v>
      </c>
      <c r="G11" s="5" t="s">
        <v>22</v>
      </c>
      <c r="H11" s="5">
        <v>1850000</v>
      </c>
    </row>
    <row r="12" spans="2:8" ht="21.75" customHeight="1" x14ac:dyDescent="0.25">
      <c r="D12" s="5">
        <v>9</v>
      </c>
      <c r="E12" t="str">
        <f t="shared" si="0"/>
        <v>PR009</v>
      </c>
      <c r="F12" s="5" t="s">
        <v>43</v>
      </c>
      <c r="G12" s="5" t="s">
        <v>44</v>
      </c>
      <c r="H12" s="5">
        <v>2450000</v>
      </c>
    </row>
    <row r="13" spans="2:8" ht="21.75" customHeight="1" x14ac:dyDescent="0.25">
      <c r="D13" s="5">
        <v>10</v>
      </c>
      <c r="E13" t="str">
        <f t="shared" si="0"/>
        <v>PR010</v>
      </c>
      <c r="F13" s="5" t="s">
        <v>54</v>
      </c>
      <c r="G13" s="5" t="s">
        <v>29</v>
      </c>
      <c r="H13" s="5">
        <v>350000</v>
      </c>
    </row>
    <row r="14" spans="2:8" ht="21.75" customHeight="1" x14ac:dyDescent="0.25">
      <c r="D14" s="5">
        <v>11</v>
      </c>
      <c r="E14" t="str">
        <f t="shared" si="0"/>
        <v>PR011</v>
      </c>
      <c r="F14" s="5" t="s">
        <v>47</v>
      </c>
      <c r="G14" s="5" t="s">
        <v>29</v>
      </c>
      <c r="H14" s="5">
        <v>85000</v>
      </c>
    </row>
    <row r="15" spans="2:8" ht="21.75" customHeight="1" x14ac:dyDescent="0.25">
      <c r="D15" s="5">
        <v>12</v>
      </c>
      <c r="E15" t="str">
        <f t="shared" si="0"/>
        <v>PR012</v>
      </c>
      <c r="F15" s="5" t="s">
        <v>62</v>
      </c>
      <c r="G15" s="5" t="s">
        <v>29</v>
      </c>
      <c r="H15" s="5">
        <v>220000</v>
      </c>
    </row>
    <row r="16" spans="2:8" ht="21.75" customHeight="1" x14ac:dyDescent="0.25">
      <c r="D16" s="5">
        <v>13</v>
      </c>
      <c r="E16" t="str">
        <f t="shared" si="0"/>
        <v>PR013</v>
      </c>
      <c r="F16" s="5" t="s">
        <v>85</v>
      </c>
      <c r="G16" s="5" t="s">
        <v>29</v>
      </c>
      <c r="H16" s="5">
        <v>180000</v>
      </c>
    </row>
    <row r="17" spans="4:8" ht="21.75" customHeight="1" x14ac:dyDescent="0.25">
      <c r="D17" s="5">
        <v>14</v>
      </c>
      <c r="E17" t="str">
        <f t="shared" si="0"/>
        <v>PR014</v>
      </c>
      <c r="F17" s="5" t="s">
        <v>117</v>
      </c>
      <c r="G17" s="5" t="s">
        <v>19</v>
      </c>
      <c r="H17" s="5">
        <v>950000</v>
      </c>
    </row>
    <row r="18" spans="4:8" ht="21.75" customHeight="1" x14ac:dyDescent="0.25">
      <c r="D18" s="5">
        <v>15</v>
      </c>
      <c r="E18" t="str">
        <f t="shared" si="0"/>
        <v>PR015</v>
      </c>
      <c r="F18" s="5" t="s">
        <v>38</v>
      </c>
      <c r="G18" s="5" t="s">
        <v>39</v>
      </c>
      <c r="H18" s="5">
        <v>420000</v>
      </c>
    </row>
    <row r="19" spans="4:8" ht="21.75" customHeight="1" x14ac:dyDescent="0.25">
      <c r="D19" s="5">
        <v>16</v>
      </c>
      <c r="E19" t="str">
        <f t="shared" si="0"/>
        <v>PR016</v>
      </c>
      <c r="F19" s="5" t="s">
        <v>74</v>
      </c>
      <c r="G19" s="5" t="s">
        <v>39</v>
      </c>
      <c r="H19" s="5">
        <v>390000</v>
      </c>
    </row>
    <row r="20" spans="4:8" ht="21.75" customHeight="1" x14ac:dyDescent="0.25">
      <c r="D20" s="5">
        <v>17</v>
      </c>
      <c r="E20" t="str">
        <f t="shared" si="0"/>
        <v>PR017</v>
      </c>
      <c r="F20" s="5" t="s">
        <v>31</v>
      </c>
      <c r="G20" s="5" t="s">
        <v>32</v>
      </c>
      <c r="H20" s="5">
        <v>720000</v>
      </c>
    </row>
    <row r="21" spans="4:8" ht="21.75" customHeight="1" x14ac:dyDescent="0.25">
      <c r="D21" s="5">
        <v>18</v>
      </c>
      <c r="E21" t="str">
        <f t="shared" si="0"/>
        <v>PR018</v>
      </c>
      <c r="F21" s="5" t="s">
        <v>25</v>
      </c>
      <c r="G21" s="5" t="s">
        <v>26</v>
      </c>
      <c r="H21" s="5">
        <v>210000</v>
      </c>
    </row>
    <row r="22" spans="4:8" ht="21.75" customHeight="1" x14ac:dyDescent="0.25">
      <c r="D22" s="5">
        <v>19</v>
      </c>
      <c r="E22" t="str">
        <f t="shared" si="0"/>
        <v>PR019</v>
      </c>
      <c r="F22" s="5" t="s">
        <v>79</v>
      </c>
      <c r="G22" s="5" t="s">
        <v>26</v>
      </c>
      <c r="H22" s="5">
        <v>460000</v>
      </c>
    </row>
    <row r="23" spans="4:8" ht="21.75" customHeight="1" x14ac:dyDescent="0.25">
      <c r="D23" s="5">
        <v>20</v>
      </c>
      <c r="E23" t="str">
        <f t="shared" si="0"/>
        <v>PR020</v>
      </c>
      <c r="F23" s="5" t="s">
        <v>138</v>
      </c>
      <c r="G23" s="5" t="s">
        <v>29</v>
      </c>
      <c r="H23" s="5">
        <v>75000</v>
      </c>
    </row>
  </sheetData>
  <mergeCells count="1">
    <mergeCell ref="B2:C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08928-F670-4389-91FC-A42611E7F6CC}">
  <dimension ref="B3:H4"/>
  <sheetViews>
    <sheetView workbookViewId="0">
      <selection activeCell="H8" sqref="H8"/>
    </sheetView>
  </sheetViews>
  <sheetFormatPr defaultRowHeight="15" x14ac:dyDescent="0.25"/>
  <cols>
    <col min="4" max="4" width="15" bestFit="1" customWidth="1"/>
    <col min="5" max="5" width="16.7109375" bestFit="1" customWidth="1"/>
    <col min="6" max="6" width="14.5703125" bestFit="1" customWidth="1"/>
    <col min="7" max="7" width="15.5703125" bestFit="1" customWidth="1"/>
    <col min="8" max="8" width="5.7109375" bestFit="1" customWidth="1"/>
  </cols>
  <sheetData>
    <row r="3" spans="2:8" x14ac:dyDescent="0.25">
      <c r="B3" s="1" t="s">
        <v>10</v>
      </c>
      <c r="C3" s="1"/>
    </row>
    <row r="4" spans="2:8" x14ac:dyDescent="0.25">
      <c r="D4" t="s">
        <v>11</v>
      </c>
      <c r="E4" t="s">
        <v>12</v>
      </c>
      <c r="F4" t="s">
        <v>13</v>
      </c>
      <c r="G4" t="s">
        <v>14</v>
      </c>
      <c r="H4" t="s">
        <v>15</v>
      </c>
    </row>
  </sheetData>
  <mergeCells count="1">
    <mergeCell ref="B3:C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D5F84-78FA-418E-BD7B-94443E20F540}">
  <dimension ref="A1"/>
  <sheetViews>
    <sheetView workbookViewId="0">
      <selection activeCell="D17" sqref="D17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 Penjualan</vt:lpstr>
      <vt:lpstr>Master Produk</vt:lpstr>
      <vt:lpstr>Data Dashboard</vt:lpstr>
      <vt:lpstr>Rumus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Ramdani</dc:creator>
  <cp:lastModifiedBy>Muhammad Ramdani</cp:lastModifiedBy>
  <dcterms:created xsi:type="dcterms:W3CDTF">2026-07-08T07:46:04Z</dcterms:created>
  <dcterms:modified xsi:type="dcterms:W3CDTF">2026-07-08T08:13:49Z</dcterms:modified>
</cp:coreProperties>
</file>