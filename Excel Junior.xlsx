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ni\Documents\Excel-Portfolio\"/>
    </mc:Choice>
  </mc:AlternateContent>
  <xr:revisionPtr revIDLastSave="0" documentId="13_ncr:1_{8AF3675F-2B4B-45B9-A903-1EBAEB5D2485}" xr6:coauthVersionLast="47" xr6:coauthVersionMax="47" xr10:uidLastSave="{00000000-0000-0000-0000-000000000000}"/>
  <bookViews>
    <workbookView xWindow="-120" yWindow="-120" windowWidth="20730" windowHeight="11760" xr2:uid="{3A5B9488-4C2F-4F4D-AD83-87F7C6430F9C}"/>
  </bookViews>
  <sheets>
    <sheet name="Data Penjualan" sheetId="1" r:id="rId1"/>
    <sheet name="Master Produk" sheetId="4" r:id="rId2"/>
    <sheet name="Data Dashboard" sheetId="2" r:id="rId3"/>
    <sheet name="Rumus" sheetId="3" r:id="rId4"/>
  </sheets>
  <definedNames>
    <definedName name="KodeProduk">tblProduk[Kode Produk]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6" i="1" l="1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</calcChain>
</file>

<file path=xl/sharedStrings.xml><?xml version="1.0" encoding="utf-8"?>
<sst xmlns="http://schemas.openxmlformats.org/spreadsheetml/2006/main" count="427" uniqueCount="166">
  <si>
    <t>DATA PENJUALAN</t>
  </si>
  <si>
    <t>Tanggal</t>
  </si>
  <si>
    <t>Invoice</t>
  </si>
  <si>
    <t>No</t>
  </si>
  <si>
    <t>Produk</t>
  </si>
  <si>
    <t>Kategori</t>
  </si>
  <si>
    <t>Harga</t>
  </si>
  <si>
    <t>Qty</t>
  </si>
  <si>
    <t>Diskon</t>
  </si>
  <si>
    <t>Total</t>
  </si>
  <si>
    <t>Dashboard</t>
  </si>
  <si>
    <t>Total Penjualan</t>
  </si>
  <si>
    <t>Jumlah Transaksi</t>
  </si>
  <si>
    <t>Produk Terlaris</t>
  </si>
  <si>
    <t>Kategori Terlaris</t>
  </si>
  <si>
    <t>Chart</t>
  </si>
  <si>
    <t>21/07/2026</t>
  </si>
  <si>
    <t>INV001</t>
  </si>
  <si>
    <t>Flashdisk Sandisk 32GB</t>
  </si>
  <si>
    <t>Storage</t>
  </si>
  <si>
    <t>INV002</t>
  </si>
  <si>
    <t>Monitor LG 24"</t>
  </si>
  <si>
    <t>Monitor</t>
  </si>
  <si>
    <t>22/07/2026</t>
  </si>
  <si>
    <t>INV003</t>
  </si>
  <si>
    <t>Speaker Logitech Z120</t>
  </si>
  <si>
    <t>Audio</t>
  </si>
  <si>
    <t>INV004</t>
  </si>
  <si>
    <t>Mouse Logitech M185</t>
  </si>
  <si>
    <t>Aksesoris</t>
  </si>
  <si>
    <t>INV005</t>
  </si>
  <si>
    <t>UPS 650VA</t>
  </si>
  <si>
    <t>Power</t>
  </si>
  <si>
    <t>18/07/2026</t>
  </si>
  <si>
    <t>INV006</t>
  </si>
  <si>
    <t>RAM DDR4 16GB</t>
  </si>
  <si>
    <t>Komponen</t>
  </si>
  <si>
    <t>INV007</t>
  </si>
  <si>
    <t>Router TP-Link</t>
  </si>
  <si>
    <t>Networking</t>
  </si>
  <si>
    <t>26/07/2026</t>
  </si>
  <si>
    <t>INV008</t>
  </si>
  <si>
    <t>INV009</t>
  </si>
  <si>
    <t>Printer Epson L3250</t>
  </si>
  <si>
    <t>Printer</t>
  </si>
  <si>
    <t>31/07/2026</t>
  </si>
  <si>
    <t>INV010</t>
  </si>
  <si>
    <t>Kabel HDMI 2 Meter</t>
  </si>
  <si>
    <t>13/07/2026</t>
  </si>
  <si>
    <t>INV011</t>
  </si>
  <si>
    <t>20/07/2026</t>
  </si>
  <si>
    <t>INV012</t>
  </si>
  <si>
    <t>INV013</t>
  </si>
  <si>
    <t>INV014</t>
  </si>
  <si>
    <t>Webcam Logitech C270</t>
  </si>
  <si>
    <t>19/07/2026</t>
  </si>
  <si>
    <t>INV015</t>
  </si>
  <si>
    <t>INV016</t>
  </si>
  <si>
    <t>28/07/2026</t>
  </si>
  <si>
    <t>INV017</t>
  </si>
  <si>
    <t>INV018</t>
  </si>
  <si>
    <t>INV019</t>
  </si>
  <si>
    <t>Laptop Stand</t>
  </si>
  <si>
    <t>23/07/2026</t>
  </si>
  <si>
    <t>INV020</t>
  </si>
  <si>
    <t>Headset Fantech HG11</t>
  </si>
  <si>
    <t>INV021</t>
  </si>
  <si>
    <t>INV022</t>
  </si>
  <si>
    <t>INV023</t>
  </si>
  <si>
    <t>27/07/2026</t>
  </si>
  <si>
    <t>INV024</t>
  </si>
  <si>
    <t>Keyboard Logitech K120</t>
  </si>
  <si>
    <t>INV025</t>
  </si>
  <si>
    <t>INV026</t>
  </si>
  <si>
    <t>Switch 8 Port</t>
  </si>
  <si>
    <t>INV027</t>
  </si>
  <si>
    <t>24/07/2026</t>
  </si>
  <si>
    <t>INV028</t>
  </si>
  <si>
    <t>INV029</t>
  </si>
  <si>
    <t>Microphone USB</t>
  </si>
  <si>
    <t>INV030</t>
  </si>
  <si>
    <t>INV031</t>
  </si>
  <si>
    <t>INV032</t>
  </si>
  <si>
    <t>RAM DDR4 8GB</t>
  </si>
  <si>
    <t>INV033</t>
  </si>
  <si>
    <t>Cooling Pad</t>
  </si>
  <si>
    <t>17/07/2026</t>
  </si>
  <si>
    <t>INV034</t>
  </si>
  <si>
    <t>INV035</t>
  </si>
  <si>
    <t>25/07/2026</t>
  </si>
  <si>
    <t>INV036</t>
  </si>
  <si>
    <t>14/07/2026</t>
  </si>
  <si>
    <t>INV037</t>
  </si>
  <si>
    <t>INV038</t>
  </si>
  <si>
    <t>INV039</t>
  </si>
  <si>
    <t>INV040</t>
  </si>
  <si>
    <t>INV041</t>
  </si>
  <si>
    <t>INV042</t>
  </si>
  <si>
    <t>INV043</t>
  </si>
  <si>
    <t>INV044</t>
  </si>
  <si>
    <t>INV045</t>
  </si>
  <si>
    <t>INV046</t>
  </si>
  <si>
    <t>INV047</t>
  </si>
  <si>
    <t>INV048</t>
  </si>
  <si>
    <t>15/07/2026</t>
  </si>
  <si>
    <t>INV049</t>
  </si>
  <si>
    <t>INV050</t>
  </si>
  <si>
    <t>INV051</t>
  </si>
  <si>
    <t>INV052</t>
  </si>
  <si>
    <t>INV053</t>
  </si>
  <si>
    <t>29/07/2026</t>
  </si>
  <si>
    <t>INV054</t>
  </si>
  <si>
    <t>INV055</t>
  </si>
  <si>
    <t>INV056</t>
  </si>
  <si>
    <t>INV057</t>
  </si>
  <si>
    <t>INV058</t>
  </si>
  <si>
    <t>INV059</t>
  </si>
  <si>
    <t>Harddisk External 1TB</t>
  </si>
  <si>
    <t>INV060</t>
  </si>
  <si>
    <t>INV061</t>
  </si>
  <si>
    <t>INV062</t>
  </si>
  <si>
    <t>INV063</t>
  </si>
  <si>
    <t>INV064</t>
  </si>
  <si>
    <t>INV065</t>
  </si>
  <si>
    <t>INV066</t>
  </si>
  <si>
    <t>30/07/2026</t>
  </si>
  <si>
    <t>INV067</t>
  </si>
  <si>
    <t>16/07/2026</t>
  </si>
  <si>
    <t>INV068</t>
  </si>
  <si>
    <t>INV069</t>
  </si>
  <si>
    <t>INV070</t>
  </si>
  <si>
    <t>INV071</t>
  </si>
  <si>
    <t>INV072</t>
  </si>
  <si>
    <t>INV073</t>
  </si>
  <si>
    <t>INV074</t>
  </si>
  <si>
    <t>INV075</t>
  </si>
  <si>
    <t>INV076</t>
  </si>
  <si>
    <t>INV077</t>
  </si>
  <si>
    <t>Mousepad Gaming</t>
  </si>
  <si>
    <t>INV078</t>
  </si>
  <si>
    <t>INV079</t>
  </si>
  <si>
    <t>INV080</t>
  </si>
  <si>
    <t>INV081</t>
  </si>
  <si>
    <t>INV082</t>
  </si>
  <si>
    <t>INV083</t>
  </si>
  <si>
    <t>INV084</t>
  </si>
  <si>
    <t>INV085</t>
  </si>
  <si>
    <t>INV086</t>
  </si>
  <si>
    <t>INV087</t>
  </si>
  <si>
    <t>INV088</t>
  </si>
  <si>
    <t>INV089</t>
  </si>
  <si>
    <t>INV090</t>
  </si>
  <si>
    <t>INV091</t>
  </si>
  <si>
    <t>SSD Kingston 512GB</t>
  </si>
  <si>
    <t>INV092</t>
  </si>
  <si>
    <t>INV093</t>
  </si>
  <si>
    <t>INV094</t>
  </si>
  <si>
    <t>INV095</t>
  </si>
  <si>
    <t>INV096</t>
  </si>
  <si>
    <t>INV097</t>
  </si>
  <si>
    <t>INV098</t>
  </si>
  <si>
    <t>INV099</t>
  </si>
  <si>
    <t>INV100</t>
  </si>
  <si>
    <t>Daftar Produk</t>
  </si>
  <si>
    <t>Kode Produk</t>
  </si>
  <si>
    <t>PR001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</si>
</sst>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3" borderId="1" xfId="0" applyFont="1" applyFill="1" applyBorder="1"/>
    <xf numFmtId="0" fontId="3" fillId="2" borderId="2" xfId="0" applyFont="1" applyFill="1" applyBorder="1"/>
    <xf numFmtId="0" fontId="2" fillId="3" borderId="2" xfId="0" applyFont="1" applyFill="1" applyBorder="1"/>
    <xf numFmtId="0" fontId="2" fillId="3" borderId="1" xfId="0" applyFont="1" applyFill="1" applyBorder="1"/>
    <xf numFmtId="0" fontId="0" fillId="3" borderId="2" xfId="0" applyFont="1" applyFill="1" applyBorder="1"/>
    <xf numFmtId="0" fontId="3" fillId="2" borderId="0" xfId="0" applyFont="1" applyFill="1" applyBorder="1"/>
  </cellXfs>
  <cellStyles count="1">
    <cellStyle name="Normal" xfId="0" builtinId="0"/>
  </cellStyles>
  <dxfs count="1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</border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1A051B8-1009-4B12-BDA8-F4E0A1785D73}" name="tblPenjualan" displayName="tblPenjualan" ref="D5:M105" totalsRowShown="0" headerRowDxfId="0" dataDxfId="1" tableBorderDxfId="11">
  <autoFilter ref="D5:M105" xr:uid="{A1A051B8-1009-4B12-BDA8-F4E0A1785D73}"/>
  <tableColumns count="10">
    <tableColumn id="1" xr3:uid="{CD754D85-1440-4695-8E9E-168882F6B967}" name="No" dataDxfId="10"/>
    <tableColumn id="2" xr3:uid="{94A413BD-172E-40E6-AF21-1EEEA9EFA759}" name="Tanggal" dataDxfId="9"/>
    <tableColumn id="3" xr3:uid="{F6F3FC75-2B3D-4B29-9184-A188381B5748}" name="Invoice" dataDxfId="8"/>
    <tableColumn id="4" xr3:uid="{C000D992-1E30-40E9-B271-1CEC88E119C4}" name="Kode Produk"/>
    <tableColumn id="5" xr3:uid="{C78995F6-9DDB-423C-87DA-9E1F7F2F2350}" name="Produk" dataDxfId="7"/>
    <tableColumn id="6" xr3:uid="{ED5FAEC4-2BDA-4644-AFC5-A54D20E98610}" name="Kategori" dataDxfId="6"/>
    <tableColumn id="7" xr3:uid="{CFCC14E9-E4A7-4903-B8EB-DD0E69C2E068}" name="Harga" dataDxfId="5"/>
    <tableColumn id="8" xr3:uid="{D0A2317B-0228-4B19-924B-8C05167BA4AE}" name="Qty" dataDxfId="4"/>
    <tableColumn id="9" xr3:uid="{DD9C52D6-FDB5-46F9-803A-0E083341E491}" name="Diskon" dataDxfId="3"/>
    <tableColumn id="10" xr3:uid="{2809CFFE-8337-4F60-BBEB-44FE115319C6}" name="Total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53016B-4BF3-49D9-BD74-AED32FF7C8C9}" name="tblProduk" displayName="tblProduk" ref="D3:H23" totalsRowShown="0" dataDxfId="12">
  <autoFilter ref="D3:H23" xr:uid="{4053016B-4BF3-49D9-BD74-AED32FF7C8C9}"/>
  <tableColumns count="5">
    <tableColumn id="1" xr3:uid="{4347EAC2-FFA8-4F50-BDFA-9BA830BA2075}" name="No" dataDxfId="16"/>
    <tableColumn id="2" xr3:uid="{B11C248E-1098-44AC-ADEF-A3501A822CDE}" name="Kode Produk">
      <calculatedColumnFormula>"PR"&amp;TEXT(ROW()-3,"000")</calculatedColumnFormula>
    </tableColumn>
    <tableColumn id="3" xr3:uid="{5A041FFD-F74E-4E4D-8ECB-C3B9F4D79C41}" name="Produk" dataDxfId="15"/>
    <tableColumn id="4" xr3:uid="{43BDDA0D-2DDF-4D95-9DC5-EAE9F43015D8}" name="Kategori" dataDxfId="14"/>
    <tableColumn id="5" xr3:uid="{2BCDCFCD-8FF2-49EE-B8C1-99D9F96348EE}" name="Harga" dataDxfId="1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1C7BD-847F-40A8-9C06-4B2E5CE47DC4}">
  <dimension ref="B3:M105"/>
  <sheetViews>
    <sheetView tabSelected="1" zoomScale="85" zoomScaleNormal="85" workbookViewId="0">
      <selection activeCell="R11" sqref="R11"/>
    </sheetView>
  </sheetViews>
  <sheetFormatPr defaultRowHeight="15" x14ac:dyDescent="0.25"/>
  <cols>
    <col min="4" max="4" width="5.5703125" customWidth="1"/>
    <col min="5" max="5" width="10.5703125" bestFit="1" customWidth="1"/>
    <col min="6" max="6" width="9.140625" customWidth="1"/>
    <col min="7" max="8" width="22.28515625" bestFit="1" customWidth="1"/>
    <col min="9" max="9" width="10.28515625" customWidth="1"/>
    <col min="10" max="10" width="8.28515625" customWidth="1"/>
    <col min="11" max="11" width="9.140625" customWidth="1"/>
    <col min="12" max="12" width="9.28515625" bestFit="1" customWidth="1"/>
  </cols>
  <sheetData>
    <row r="3" spans="2:13" ht="15.75" x14ac:dyDescent="0.25">
      <c r="B3" s="3" t="s">
        <v>0</v>
      </c>
      <c r="C3" s="3"/>
    </row>
    <row r="5" spans="2:13" x14ac:dyDescent="0.25">
      <c r="D5" s="5" t="s">
        <v>3</v>
      </c>
      <c r="E5" s="5" t="s">
        <v>1</v>
      </c>
      <c r="F5" s="5" t="s">
        <v>2</v>
      </c>
      <c r="G5" s="9" t="s">
        <v>164</v>
      </c>
      <c r="H5" s="5" t="s">
        <v>4</v>
      </c>
      <c r="I5" s="5" t="s">
        <v>5</v>
      </c>
      <c r="J5" s="5" t="s">
        <v>6</v>
      </c>
      <c r="K5" s="5" t="s">
        <v>7</v>
      </c>
      <c r="L5" s="5" t="s">
        <v>8</v>
      </c>
      <c r="M5" s="5" t="s">
        <v>9</v>
      </c>
    </row>
    <row r="6" spans="2:13" x14ac:dyDescent="0.25">
      <c r="D6" s="8">
        <v>1</v>
      </c>
      <c r="E6" s="6" t="s">
        <v>16</v>
      </c>
      <c r="F6" s="6" t="s">
        <v>17</v>
      </c>
      <c r="G6" t="s">
        <v>165</v>
      </c>
      <c r="H6" s="6" t="str">
        <f>_xlfn.XLOOKUP(tblPenjualan[[#This Row],[Kode Produk]],tblProduk[Kode Produk],tblProduk[Produk],"")</f>
        <v>Mouse Logitech M185</v>
      </c>
      <c r="I6" s="6" t="s">
        <v>19</v>
      </c>
      <c r="J6" s="6">
        <v>95000</v>
      </c>
      <c r="K6" s="6">
        <v>1</v>
      </c>
      <c r="L6" s="6">
        <v>20000</v>
      </c>
      <c r="M6" s="6">
        <v>75000</v>
      </c>
    </row>
    <row r="7" spans="2:13" x14ac:dyDescent="0.25">
      <c r="D7" s="8">
        <v>2</v>
      </c>
      <c r="E7" s="6">
        <v>46241</v>
      </c>
      <c r="F7" s="6" t="s">
        <v>20</v>
      </c>
      <c r="G7" t="s">
        <v>165</v>
      </c>
      <c r="H7" s="6" t="s">
        <v>21</v>
      </c>
      <c r="I7" s="6" t="s">
        <v>22</v>
      </c>
      <c r="J7" s="6">
        <v>1850000</v>
      </c>
      <c r="K7" s="6">
        <v>2</v>
      </c>
      <c r="L7" s="6">
        <v>5000</v>
      </c>
      <c r="M7" s="6">
        <v>3695000</v>
      </c>
    </row>
    <row r="8" spans="2:13" x14ac:dyDescent="0.25">
      <c r="D8" s="8">
        <v>3</v>
      </c>
      <c r="E8" s="6" t="s">
        <v>23</v>
      </c>
      <c r="F8" s="6" t="s">
        <v>24</v>
      </c>
      <c r="H8" s="6" t="s">
        <v>25</v>
      </c>
      <c r="I8" s="6" t="s">
        <v>26</v>
      </c>
      <c r="J8" s="6">
        <v>210000</v>
      </c>
      <c r="K8" s="6">
        <v>1</v>
      </c>
      <c r="L8" s="6">
        <v>50000</v>
      </c>
      <c r="M8" s="6">
        <v>160000</v>
      </c>
    </row>
    <row r="9" spans="2:13" x14ac:dyDescent="0.25">
      <c r="D9" s="8">
        <v>4</v>
      </c>
      <c r="E9" s="6">
        <v>46060</v>
      </c>
      <c r="F9" s="6" t="s">
        <v>27</v>
      </c>
      <c r="H9" s="6" t="s">
        <v>28</v>
      </c>
      <c r="I9" s="6" t="s">
        <v>29</v>
      </c>
      <c r="J9" s="6">
        <v>125000</v>
      </c>
      <c r="K9" s="6">
        <v>1</v>
      </c>
      <c r="L9" s="6">
        <v>15000</v>
      </c>
      <c r="M9" s="6">
        <v>110000</v>
      </c>
    </row>
    <row r="10" spans="2:13" x14ac:dyDescent="0.25">
      <c r="D10" s="8">
        <v>5</v>
      </c>
      <c r="E10" s="6">
        <v>46241</v>
      </c>
      <c r="F10" s="6" t="s">
        <v>30</v>
      </c>
      <c r="H10" s="6" t="s">
        <v>31</v>
      </c>
      <c r="I10" s="6" t="s">
        <v>32</v>
      </c>
      <c r="J10" s="6">
        <v>720000</v>
      </c>
      <c r="K10" s="6">
        <v>5</v>
      </c>
      <c r="L10" s="6">
        <v>0</v>
      </c>
      <c r="M10" s="6">
        <v>3600000</v>
      </c>
    </row>
    <row r="11" spans="2:13" x14ac:dyDescent="0.25">
      <c r="D11" s="8">
        <v>6</v>
      </c>
      <c r="E11" s="6" t="s">
        <v>33</v>
      </c>
      <c r="F11" s="6" t="s">
        <v>34</v>
      </c>
      <c r="H11" s="6" t="s">
        <v>35</v>
      </c>
      <c r="I11" s="6" t="s">
        <v>36</v>
      </c>
      <c r="J11" s="6">
        <v>695000</v>
      </c>
      <c r="K11" s="6">
        <v>5</v>
      </c>
      <c r="L11" s="6">
        <v>50000</v>
      </c>
      <c r="M11" s="6">
        <v>3425000</v>
      </c>
    </row>
    <row r="12" spans="2:13" x14ac:dyDescent="0.25">
      <c r="D12" s="8">
        <v>7</v>
      </c>
      <c r="E12" s="6">
        <v>46241</v>
      </c>
      <c r="F12" s="6" t="s">
        <v>37</v>
      </c>
      <c r="H12" s="6" t="s">
        <v>38</v>
      </c>
      <c r="I12" s="6" t="s">
        <v>39</v>
      </c>
      <c r="J12" s="6">
        <v>420000</v>
      </c>
      <c r="K12" s="6">
        <v>5</v>
      </c>
      <c r="L12" s="6">
        <v>20000</v>
      </c>
      <c r="M12" s="6">
        <v>2080000</v>
      </c>
    </row>
    <row r="13" spans="2:13" x14ac:dyDescent="0.25">
      <c r="D13" s="8">
        <v>8</v>
      </c>
      <c r="E13" s="6" t="s">
        <v>40</v>
      </c>
      <c r="F13" s="6" t="s">
        <v>41</v>
      </c>
      <c r="H13" s="6" t="s">
        <v>28</v>
      </c>
      <c r="I13" s="6" t="s">
        <v>29</v>
      </c>
      <c r="J13" s="6">
        <v>125000</v>
      </c>
      <c r="K13" s="6">
        <v>2</v>
      </c>
      <c r="L13" s="6">
        <v>50000</v>
      </c>
      <c r="M13" s="6">
        <v>200000</v>
      </c>
    </row>
    <row r="14" spans="2:13" x14ac:dyDescent="0.25">
      <c r="D14" s="8">
        <v>9</v>
      </c>
      <c r="E14" s="6">
        <v>46333</v>
      </c>
      <c r="F14" s="6" t="s">
        <v>42</v>
      </c>
      <c r="H14" s="6" t="s">
        <v>43</v>
      </c>
      <c r="I14" s="6" t="s">
        <v>44</v>
      </c>
      <c r="J14" s="6">
        <v>2450000</v>
      </c>
      <c r="K14" s="6">
        <v>2</v>
      </c>
      <c r="L14" s="6">
        <v>15000</v>
      </c>
      <c r="M14" s="6">
        <v>4885000</v>
      </c>
    </row>
    <row r="15" spans="2:13" x14ac:dyDescent="0.25">
      <c r="D15" s="8">
        <v>10</v>
      </c>
      <c r="E15" s="6" t="s">
        <v>45</v>
      </c>
      <c r="F15" s="6" t="s">
        <v>46</v>
      </c>
      <c r="H15" s="6" t="s">
        <v>47</v>
      </c>
      <c r="I15" s="6" t="s">
        <v>29</v>
      </c>
      <c r="J15" s="6">
        <v>85000</v>
      </c>
      <c r="K15" s="6">
        <v>1</v>
      </c>
      <c r="L15" s="6">
        <v>5000</v>
      </c>
      <c r="M15" s="6">
        <v>80000</v>
      </c>
    </row>
    <row r="16" spans="2:13" x14ac:dyDescent="0.25">
      <c r="D16" s="8">
        <v>11</v>
      </c>
      <c r="E16" s="6" t="s">
        <v>48</v>
      </c>
      <c r="F16" s="6" t="s">
        <v>49</v>
      </c>
      <c r="H16" s="6" t="s">
        <v>18</v>
      </c>
      <c r="I16" s="6" t="s">
        <v>19</v>
      </c>
      <c r="J16" s="6">
        <v>95000</v>
      </c>
      <c r="K16" s="6">
        <v>3</v>
      </c>
      <c r="L16" s="6">
        <v>25000</v>
      </c>
      <c r="M16" s="6">
        <v>260000</v>
      </c>
    </row>
    <row r="17" spans="4:13" x14ac:dyDescent="0.25">
      <c r="D17" s="8">
        <v>12</v>
      </c>
      <c r="E17" s="6" t="s">
        <v>50</v>
      </c>
      <c r="F17" s="6" t="s">
        <v>51</v>
      </c>
      <c r="H17" s="6" t="s">
        <v>43</v>
      </c>
      <c r="I17" s="6" t="s">
        <v>44</v>
      </c>
      <c r="J17" s="6">
        <v>2450000</v>
      </c>
      <c r="K17" s="6">
        <v>1</v>
      </c>
      <c r="L17" s="6">
        <v>100000</v>
      </c>
      <c r="M17" s="6">
        <v>2350000</v>
      </c>
    </row>
    <row r="18" spans="4:13" x14ac:dyDescent="0.25">
      <c r="D18" s="8">
        <v>13</v>
      </c>
      <c r="E18" s="6" t="s">
        <v>33</v>
      </c>
      <c r="F18" s="6" t="s">
        <v>52</v>
      </c>
      <c r="H18" s="6" t="s">
        <v>18</v>
      </c>
      <c r="I18" s="6" t="s">
        <v>19</v>
      </c>
      <c r="J18" s="6">
        <v>95000</v>
      </c>
      <c r="K18" s="6">
        <v>4</v>
      </c>
      <c r="L18" s="6">
        <v>5000</v>
      </c>
      <c r="M18" s="6">
        <v>375000</v>
      </c>
    </row>
    <row r="19" spans="4:13" x14ac:dyDescent="0.25">
      <c r="D19" s="8">
        <v>14</v>
      </c>
      <c r="E19" s="6" t="s">
        <v>33</v>
      </c>
      <c r="F19" s="6" t="s">
        <v>53</v>
      </c>
      <c r="H19" s="6" t="s">
        <v>54</v>
      </c>
      <c r="I19" s="6" t="s">
        <v>29</v>
      </c>
      <c r="J19" s="6">
        <v>350000</v>
      </c>
      <c r="K19" s="6">
        <v>5</v>
      </c>
      <c r="L19" s="6">
        <v>25000</v>
      </c>
      <c r="M19" s="6">
        <v>1725000</v>
      </c>
    </row>
    <row r="20" spans="4:13" x14ac:dyDescent="0.25">
      <c r="D20" s="8">
        <v>15</v>
      </c>
      <c r="E20" s="6" t="s">
        <v>55</v>
      </c>
      <c r="F20" s="6" t="s">
        <v>56</v>
      </c>
      <c r="H20" s="6" t="s">
        <v>35</v>
      </c>
      <c r="I20" s="6" t="s">
        <v>36</v>
      </c>
      <c r="J20" s="6">
        <v>695000</v>
      </c>
      <c r="K20" s="6">
        <v>1</v>
      </c>
      <c r="L20" s="6">
        <v>0</v>
      </c>
      <c r="M20" s="6">
        <v>695000</v>
      </c>
    </row>
    <row r="21" spans="4:13" x14ac:dyDescent="0.25">
      <c r="D21" s="8">
        <v>16</v>
      </c>
      <c r="E21" s="6" t="s">
        <v>23</v>
      </c>
      <c r="F21" s="6" t="s">
        <v>57</v>
      </c>
      <c r="H21" s="6" t="s">
        <v>21</v>
      </c>
      <c r="I21" s="6" t="s">
        <v>22</v>
      </c>
      <c r="J21" s="6">
        <v>1850000</v>
      </c>
      <c r="K21" s="6">
        <v>3</v>
      </c>
      <c r="L21" s="6">
        <v>5000</v>
      </c>
      <c r="M21" s="6">
        <v>5545000</v>
      </c>
    </row>
    <row r="22" spans="4:13" x14ac:dyDescent="0.25">
      <c r="D22" s="8">
        <v>17</v>
      </c>
      <c r="E22" s="6" t="s">
        <v>58</v>
      </c>
      <c r="F22" s="6" t="s">
        <v>59</v>
      </c>
      <c r="H22" s="6" t="s">
        <v>21</v>
      </c>
      <c r="I22" s="6" t="s">
        <v>22</v>
      </c>
      <c r="J22" s="6">
        <v>1850000</v>
      </c>
      <c r="K22" s="6">
        <v>1</v>
      </c>
      <c r="L22" s="6">
        <v>50000</v>
      </c>
      <c r="M22" s="6">
        <v>1800000</v>
      </c>
    </row>
    <row r="23" spans="4:13" x14ac:dyDescent="0.25">
      <c r="D23" s="8">
        <v>18</v>
      </c>
      <c r="E23" s="6">
        <v>46272</v>
      </c>
      <c r="F23" s="6" t="s">
        <v>60</v>
      </c>
      <c r="H23" s="6" t="s">
        <v>38</v>
      </c>
      <c r="I23" s="6" t="s">
        <v>39</v>
      </c>
      <c r="J23" s="6">
        <v>420000</v>
      </c>
      <c r="K23" s="6">
        <v>3</v>
      </c>
      <c r="L23" s="6">
        <v>10000</v>
      </c>
      <c r="M23" s="6">
        <v>1250000</v>
      </c>
    </row>
    <row r="24" spans="4:13" x14ac:dyDescent="0.25">
      <c r="D24" s="8">
        <v>19</v>
      </c>
      <c r="E24" s="6">
        <v>46363</v>
      </c>
      <c r="F24" s="6" t="s">
        <v>61</v>
      </c>
      <c r="H24" s="6" t="s">
        <v>62</v>
      </c>
      <c r="I24" s="6" t="s">
        <v>29</v>
      </c>
      <c r="J24" s="6">
        <v>220000</v>
      </c>
      <c r="K24" s="6">
        <v>2</v>
      </c>
      <c r="L24" s="6">
        <v>20000</v>
      </c>
      <c r="M24" s="6">
        <v>420000</v>
      </c>
    </row>
    <row r="25" spans="4:13" x14ac:dyDescent="0.25">
      <c r="D25" s="8">
        <v>20</v>
      </c>
      <c r="E25" s="6" t="s">
        <v>63</v>
      </c>
      <c r="F25" s="6" t="s">
        <v>64</v>
      </c>
      <c r="H25" s="6" t="s">
        <v>65</v>
      </c>
      <c r="I25" s="6" t="s">
        <v>29</v>
      </c>
      <c r="J25" s="6">
        <v>275000</v>
      </c>
      <c r="K25" s="6">
        <v>5</v>
      </c>
      <c r="L25" s="6">
        <v>10000</v>
      </c>
      <c r="M25" s="6">
        <v>1365000</v>
      </c>
    </row>
    <row r="26" spans="4:13" x14ac:dyDescent="0.25">
      <c r="D26" s="8">
        <v>21</v>
      </c>
      <c r="E26" s="6" t="s">
        <v>33</v>
      </c>
      <c r="F26" s="6" t="s">
        <v>66</v>
      </c>
      <c r="H26" s="6" t="s">
        <v>21</v>
      </c>
      <c r="I26" s="6" t="s">
        <v>22</v>
      </c>
      <c r="J26" s="6">
        <v>1850000</v>
      </c>
      <c r="K26" s="6">
        <v>2</v>
      </c>
      <c r="L26" s="6">
        <v>100000</v>
      </c>
      <c r="M26" s="6">
        <v>3600000</v>
      </c>
    </row>
    <row r="27" spans="4:13" x14ac:dyDescent="0.25">
      <c r="D27" s="8">
        <v>22</v>
      </c>
      <c r="E27" s="6" t="s">
        <v>48</v>
      </c>
      <c r="F27" s="6" t="s">
        <v>67</v>
      </c>
      <c r="H27" s="6" t="s">
        <v>43</v>
      </c>
      <c r="I27" s="6" t="s">
        <v>44</v>
      </c>
      <c r="J27" s="6">
        <v>2450000</v>
      </c>
      <c r="K27" s="6">
        <v>5</v>
      </c>
      <c r="L27" s="6">
        <v>15000</v>
      </c>
      <c r="M27" s="6">
        <v>12235000</v>
      </c>
    </row>
    <row r="28" spans="4:13" x14ac:dyDescent="0.25">
      <c r="D28" s="8">
        <v>23</v>
      </c>
      <c r="E28" s="6" t="s">
        <v>23</v>
      </c>
      <c r="F28" s="6" t="s">
        <v>68</v>
      </c>
      <c r="H28" s="6" t="s">
        <v>47</v>
      </c>
      <c r="I28" s="6" t="s">
        <v>29</v>
      </c>
      <c r="J28" s="6">
        <v>85000</v>
      </c>
      <c r="K28" s="6">
        <v>1</v>
      </c>
      <c r="L28" s="6">
        <v>15000</v>
      </c>
      <c r="M28" s="6">
        <v>70000</v>
      </c>
    </row>
    <row r="29" spans="4:13" x14ac:dyDescent="0.25">
      <c r="D29" s="8">
        <v>24</v>
      </c>
      <c r="E29" s="6" t="s">
        <v>69</v>
      </c>
      <c r="F29" s="6" t="s">
        <v>70</v>
      </c>
      <c r="H29" s="6" t="s">
        <v>71</v>
      </c>
      <c r="I29" s="6" t="s">
        <v>29</v>
      </c>
      <c r="J29" s="6">
        <v>180000</v>
      </c>
      <c r="K29" s="6">
        <v>3</v>
      </c>
      <c r="L29" s="6">
        <v>50000</v>
      </c>
      <c r="M29" s="6">
        <v>490000</v>
      </c>
    </row>
    <row r="30" spans="4:13" x14ac:dyDescent="0.25">
      <c r="D30" s="8">
        <v>25</v>
      </c>
      <c r="E30" s="6">
        <v>46272</v>
      </c>
      <c r="F30" s="6" t="s">
        <v>72</v>
      </c>
      <c r="H30" s="6" t="s">
        <v>65</v>
      </c>
      <c r="I30" s="6" t="s">
        <v>29</v>
      </c>
      <c r="J30" s="6">
        <v>275000</v>
      </c>
      <c r="K30" s="6">
        <v>2</v>
      </c>
      <c r="L30" s="6">
        <v>25000</v>
      </c>
      <c r="M30" s="6">
        <v>525000</v>
      </c>
    </row>
    <row r="31" spans="4:13" x14ac:dyDescent="0.25">
      <c r="D31" s="8">
        <v>26</v>
      </c>
      <c r="E31" s="6">
        <v>46210</v>
      </c>
      <c r="F31" s="6" t="s">
        <v>73</v>
      </c>
      <c r="H31" s="6" t="s">
        <v>74</v>
      </c>
      <c r="I31" s="6" t="s">
        <v>39</v>
      </c>
      <c r="J31" s="6">
        <v>390000</v>
      </c>
      <c r="K31" s="6">
        <v>4</v>
      </c>
      <c r="L31" s="6">
        <v>100000</v>
      </c>
      <c r="M31" s="6">
        <v>1460000</v>
      </c>
    </row>
    <row r="32" spans="4:13" x14ac:dyDescent="0.25">
      <c r="D32" s="8">
        <v>27</v>
      </c>
      <c r="E32" s="6">
        <v>46149</v>
      </c>
      <c r="F32" s="6" t="s">
        <v>75</v>
      </c>
      <c r="H32" s="6" t="s">
        <v>43</v>
      </c>
      <c r="I32" s="6" t="s">
        <v>44</v>
      </c>
      <c r="J32" s="6">
        <v>2450000</v>
      </c>
      <c r="K32" s="6">
        <v>2</v>
      </c>
      <c r="L32" s="6">
        <v>15000</v>
      </c>
      <c r="M32" s="6">
        <v>4885000</v>
      </c>
    </row>
    <row r="33" spans="4:13" x14ac:dyDescent="0.25">
      <c r="D33" s="8">
        <v>28</v>
      </c>
      <c r="E33" s="6" t="s">
        <v>76</v>
      </c>
      <c r="F33" s="6" t="s">
        <v>77</v>
      </c>
      <c r="H33" s="6" t="s">
        <v>25</v>
      </c>
      <c r="I33" s="6" t="s">
        <v>26</v>
      </c>
      <c r="J33" s="6">
        <v>210000</v>
      </c>
      <c r="K33" s="6">
        <v>5</v>
      </c>
      <c r="L33" s="6">
        <v>20000</v>
      </c>
      <c r="M33" s="6">
        <v>1030000</v>
      </c>
    </row>
    <row r="34" spans="4:13" x14ac:dyDescent="0.25">
      <c r="D34" s="8">
        <v>29</v>
      </c>
      <c r="E34" s="6" t="s">
        <v>76</v>
      </c>
      <c r="F34" s="6" t="s">
        <v>78</v>
      </c>
      <c r="H34" s="6" t="s">
        <v>79</v>
      </c>
      <c r="I34" s="6" t="s">
        <v>26</v>
      </c>
      <c r="J34" s="6">
        <v>460000</v>
      </c>
      <c r="K34" s="6">
        <v>4</v>
      </c>
      <c r="L34" s="6">
        <v>50000</v>
      </c>
      <c r="M34" s="6">
        <v>1790000</v>
      </c>
    </row>
    <row r="35" spans="4:13" x14ac:dyDescent="0.25">
      <c r="D35" s="8">
        <v>30</v>
      </c>
      <c r="E35" s="6">
        <v>46363</v>
      </c>
      <c r="F35" s="6" t="s">
        <v>80</v>
      </c>
      <c r="H35" s="6" t="s">
        <v>21</v>
      </c>
      <c r="I35" s="6" t="s">
        <v>22</v>
      </c>
      <c r="J35" s="6">
        <v>1850000</v>
      </c>
      <c r="K35" s="6">
        <v>2</v>
      </c>
      <c r="L35" s="6">
        <v>100000</v>
      </c>
      <c r="M35" s="6">
        <v>3600000</v>
      </c>
    </row>
    <row r="36" spans="4:13" x14ac:dyDescent="0.25">
      <c r="D36" s="8">
        <v>31</v>
      </c>
      <c r="E36" s="6">
        <v>46088</v>
      </c>
      <c r="F36" s="6" t="s">
        <v>81</v>
      </c>
      <c r="H36" s="6" t="s">
        <v>71</v>
      </c>
      <c r="I36" s="6" t="s">
        <v>29</v>
      </c>
      <c r="J36" s="6">
        <v>180000</v>
      </c>
      <c r="K36" s="6">
        <v>1</v>
      </c>
      <c r="L36" s="6">
        <v>10000</v>
      </c>
      <c r="M36" s="6">
        <v>170000</v>
      </c>
    </row>
    <row r="37" spans="4:13" x14ac:dyDescent="0.25">
      <c r="D37" s="8">
        <v>32</v>
      </c>
      <c r="E37" s="6" t="s">
        <v>16</v>
      </c>
      <c r="F37" s="6" t="s">
        <v>82</v>
      </c>
      <c r="H37" s="6" t="s">
        <v>83</v>
      </c>
      <c r="I37" s="6" t="s">
        <v>36</v>
      </c>
      <c r="J37" s="6">
        <v>385000</v>
      </c>
      <c r="K37" s="6">
        <v>4</v>
      </c>
      <c r="L37" s="6">
        <v>5000</v>
      </c>
      <c r="M37" s="6">
        <v>1535000</v>
      </c>
    </row>
    <row r="38" spans="4:13" x14ac:dyDescent="0.25">
      <c r="D38" s="8">
        <v>33</v>
      </c>
      <c r="E38" s="6" t="s">
        <v>48</v>
      </c>
      <c r="F38" s="6" t="s">
        <v>84</v>
      </c>
      <c r="H38" s="6" t="s">
        <v>85</v>
      </c>
      <c r="I38" s="6" t="s">
        <v>29</v>
      </c>
      <c r="J38" s="6">
        <v>180000</v>
      </c>
      <c r="K38" s="6">
        <v>5</v>
      </c>
      <c r="L38" s="6">
        <v>100000</v>
      </c>
      <c r="M38" s="6">
        <v>800000</v>
      </c>
    </row>
    <row r="39" spans="4:13" x14ac:dyDescent="0.25">
      <c r="D39" s="8">
        <v>34</v>
      </c>
      <c r="E39" s="6" t="s">
        <v>86</v>
      </c>
      <c r="F39" s="6" t="s">
        <v>87</v>
      </c>
      <c r="H39" s="6" t="s">
        <v>43</v>
      </c>
      <c r="I39" s="6" t="s">
        <v>44</v>
      </c>
      <c r="J39" s="6">
        <v>2450000</v>
      </c>
      <c r="K39" s="6">
        <v>5</v>
      </c>
      <c r="L39" s="6">
        <v>0</v>
      </c>
      <c r="M39" s="6">
        <v>12250000</v>
      </c>
    </row>
    <row r="40" spans="4:13" x14ac:dyDescent="0.25">
      <c r="D40" s="8">
        <v>35</v>
      </c>
      <c r="E40" s="6" t="s">
        <v>23</v>
      </c>
      <c r="F40" s="6" t="s">
        <v>88</v>
      </c>
      <c r="H40" s="6" t="s">
        <v>18</v>
      </c>
      <c r="I40" s="6" t="s">
        <v>19</v>
      </c>
      <c r="J40" s="6">
        <v>95000</v>
      </c>
      <c r="K40" s="6">
        <v>5</v>
      </c>
      <c r="L40" s="6">
        <v>20000</v>
      </c>
      <c r="M40" s="6">
        <v>455000</v>
      </c>
    </row>
    <row r="41" spans="4:13" x14ac:dyDescent="0.25">
      <c r="D41" s="8">
        <v>36</v>
      </c>
      <c r="E41" s="6" t="s">
        <v>89</v>
      </c>
      <c r="F41" s="6" t="s">
        <v>90</v>
      </c>
      <c r="H41" s="6" t="s">
        <v>47</v>
      </c>
      <c r="I41" s="6" t="s">
        <v>29</v>
      </c>
      <c r="J41" s="6">
        <v>85000</v>
      </c>
      <c r="K41" s="6">
        <v>1</v>
      </c>
      <c r="L41" s="6">
        <v>20000</v>
      </c>
      <c r="M41" s="6">
        <v>65000</v>
      </c>
    </row>
    <row r="42" spans="4:13" x14ac:dyDescent="0.25">
      <c r="D42" s="8">
        <v>37</v>
      </c>
      <c r="E42" s="6" t="s">
        <v>91</v>
      </c>
      <c r="F42" s="6" t="s">
        <v>92</v>
      </c>
      <c r="H42" s="6" t="s">
        <v>83</v>
      </c>
      <c r="I42" s="6" t="s">
        <v>36</v>
      </c>
      <c r="J42" s="6">
        <v>385000</v>
      </c>
      <c r="K42" s="6">
        <v>4</v>
      </c>
      <c r="L42" s="6">
        <v>0</v>
      </c>
      <c r="M42" s="6">
        <v>1540000</v>
      </c>
    </row>
    <row r="43" spans="4:13" x14ac:dyDescent="0.25">
      <c r="D43" s="8">
        <v>38</v>
      </c>
      <c r="E43" s="6" t="s">
        <v>45</v>
      </c>
      <c r="F43" s="6" t="s">
        <v>93</v>
      </c>
      <c r="H43" s="6" t="s">
        <v>43</v>
      </c>
      <c r="I43" s="6" t="s">
        <v>44</v>
      </c>
      <c r="J43" s="6">
        <v>2450000</v>
      </c>
      <c r="K43" s="6">
        <v>5</v>
      </c>
      <c r="L43" s="6">
        <v>10000</v>
      </c>
      <c r="M43" s="6">
        <v>12240000</v>
      </c>
    </row>
    <row r="44" spans="4:13" x14ac:dyDescent="0.25">
      <c r="D44" s="8">
        <v>39</v>
      </c>
      <c r="E44" s="6" t="s">
        <v>86</v>
      </c>
      <c r="F44" s="6" t="s">
        <v>94</v>
      </c>
      <c r="H44" s="6" t="s">
        <v>18</v>
      </c>
      <c r="I44" s="6" t="s">
        <v>19</v>
      </c>
      <c r="J44" s="6">
        <v>95000</v>
      </c>
      <c r="K44" s="6">
        <v>3</v>
      </c>
      <c r="L44" s="6">
        <v>15000</v>
      </c>
      <c r="M44" s="6">
        <v>270000</v>
      </c>
    </row>
    <row r="45" spans="4:13" x14ac:dyDescent="0.25">
      <c r="D45" s="8">
        <v>40</v>
      </c>
      <c r="E45" s="6">
        <v>46149</v>
      </c>
      <c r="F45" s="6" t="s">
        <v>95</v>
      </c>
      <c r="H45" s="6" t="s">
        <v>62</v>
      </c>
      <c r="I45" s="6" t="s">
        <v>29</v>
      </c>
      <c r="J45" s="6">
        <v>220000</v>
      </c>
      <c r="K45" s="6">
        <v>2</v>
      </c>
      <c r="L45" s="6">
        <v>0</v>
      </c>
      <c r="M45" s="6">
        <v>440000</v>
      </c>
    </row>
    <row r="46" spans="4:13" x14ac:dyDescent="0.25">
      <c r="D46" s="8">
        <v>41</v>
      </c>
      <c r="E46" s="6" t="s">
        <v>50</v>
      </c>
      <c r="F46" s="6" t="s">
        <v>96</v>
      </c>
      <c r="H46" s="6" t="s">
        <v>47</v>
      </c>
      <c r="I46" s="6" t="s">
        <v>29</v>
      </c>
      <c r="J46" s="6">
        <v>85000</v>
      </c>
      <c r="K46" s="6">
        <v>4</v>
      </c>
      <c r="L46" s="6">
        <v>0</v>
      </c>
      <c r="M46" s="6">
        <v>340000</v>
      </c>
    </row>
    <row r="47" spans="4:13" x14ac:dyDescent="0.25">
      <c r="D47" s="8">
        <v>42</v>
      </c>
      <c r="E47" s="6">
        <v>46119</v>
      </c>
      <c r="F47" s="6" t="s">
        <v>97</v>
      </c>
      <c r="H47" s="6" t="s">
        <v>62</v>
      </c>
      <c r="I47" s="6" t="s">
        <v>29</v>
      </c>
      <c r="J47" s="6">
        <v>220000</v>
      </c>
      <c r="K47" s="6">
        <v>3</v>
      </c>
      <c r="L47" s="6">
        <v>15000</v>
      </c>
      <c r="M47" s="6">
        <v>645000</v>
      </c>
    </row>
    <row r="48" spans="4:13" x14ac:dyDescent="0.25">
      <c r="D48" s="8">
        <v>43</v>
      </c>
      <c r="E48" s="6">
        <v>46060</v>
      </c>
      <c r="F48" s="6" t="s">
        <v>98</v>
      </c>
      <c r="H48" s="6" t="s">
        <v>21</v>
      </c>
      <c r="I48" s="6" t="s">
        <v>22</v>
      </c>
      <c r="J48" s="6">
        <v>1850000</v>
      </c>
      <c r="K48" s="6">
        <v>5</v>
      </c>
      <c r="L48" s="6">
        <v>5000</v>
      </c>
      <c r="M48" s="6">
        <v>9245000</v>
      </c>
    </row>
    <row r="49" spans="4:13" x14ac:dyDescent="0.25">
      <c r="D49" s="8">
        <v>44</v>
      </c>
      <c r="E49" s="6">
        <v>46088</v>
      </c>
      <c r="F49" s="6" t="s">
        <v>99</v>
      </c>
      <c r="H49" s="6" t="s">
        <v>74</v>
      </c>
      <c r="I49" s="6" t="s">
        <v>39</v>
      </c>
      <c r="J49" s="6">
        <v>390000</v>
      </c>
      <c r="K49" s="6">
        <v>1</v>
      </c>
      <c r="L49" s="6">
        <v>10000</v>
      </c>
      <c r="M49" s="6">
        <v>380000</v>
      </c>
    </row>
    <row r="50" spans="4:13" x14ac:dyDescent="0.25">
      <c r="D50" s="8">
        <v>45</v>
      </c>
      <c r="E50" s="6">
        <v>46149</v>
      </c>
      <c r="F50" s="6" t="s">
        <v>100</v>
      </c>
      <c r="H50" s="6" t="s">
        <v>74</v>
      </c>
      <c r="I50" s="6" t="s">
        <v>39</v>
      </c>
      <c r="J50" s="6">
        <v>390000</v>
      </c>
      <c r="K50" s="6">
        <v>5</v>
      </c>
      <c r="L50" s="6">
        <v>10000</v>
      </c>
      <c r="M50" s="6">
        <v>1940000</v>
      </c>
    </row>
    <row r="51" spans="4:13" x14ac:dyDescent="0.25">
      <c r="D51" s="8">
        <v>46</v>
      </c>
      <c r="E51" s="6">
        <v>46272</v>
      </c>
      <c r="F51" s="6" t="s">
        <v>101</v>
      </c>
      <c r="H51" s="6" t="s">
        <v>31</v>
      </c>
      <c r="I51" s="6" t="s">
        <v>32</v>
      </c>
      <c r="J51" s="6">
        <v>720000</v>
      </c>
      <c r="K51" s="6">
        <v>5</v>
      </c>
      <c r="L51" s="6">
        <v>50000</v>
      </c>
      <c r="M51" s="6">
        <v>3550000</v>
      </c>
    </row>
    <row r="52" spans="4:13" x14ac:dyDescent="0.25">
      <c r="D52" s="8">
        <v>47</v>
      </c>
      <c r="E52" s="6" t="s">
        <v>45</v>
      </c>
      <c r="F52" s="6" t="s">
        <v>102</v>
      </c>
      <c r="H52" s="6" t="s">
        <v>35</v>
      </c>
      <c r="I52" s="6" t="s">
        <v>36</v>
      </c>
      <c r="J52" s="6">
        <v>695000</v>
      </c>
      <c r="K52" s="6">
        <v>5</v>
      </c>
      <c r="L52" s="6">
        <v>15000</v>
      </c>
      <c r="M52" s="6">
        <v>3460000</v>
      </c>
    </row>
    <row r="53" spans="4:13" x14ac:dyDescent="0.25">
      <c r="D53" s="8">
        <v>48</v>
      </c>
      <c r="E53" s="6" t="s">
        <v>63</v>
      </c>
      <c r="F53" s="6" t="s">
        <v>103</v>
      </c>
      <c r="H53" s="6" t="s">
        <v>54</v>
      </c>
      <c r="I53" s="6" t="s">
        <v>29</v>
      </c>
      <c r="J53" s="6">
        <v>350000</v>
      </c>
      <c r="K53" s="6">
        <v>4</v>
      </c>
      <c r="L53" s="6">
        <v>25000</v>
      </c>
      <c r="M53" s="6">
        <v>1375000</v>
      </c>
    </row>
    <row r="54" spans="4:13" x14ac:dyDescent="0.25">
      <c r="D54" s="8">
        <v>49</v>
      </c>
      <c r="E54" s="6" t="s">
        <v>104</v>
      </c>
      <c r="F54" s="6" t="s">
        <v>105</v>
      </c>
      <c r="H54" s="6" t="s">
        <v>31</v>
      </c>
      <c r="I54" s="6" t="s">
        <v>32</v>
      </c>
      <c r="J54" s="6">
        <v>720000</v>
      </c>
      <c r="K54" s="6">
        <v>4</v>
      </c>
      <c r="L54" s="6">
        <v>5000</v>
      </c>
      <c r="M54" s="6">
        <v>2875000</v>
      </c>
    </row>
    <row r="55" spans="4:13" x14ac:dyDescent="0.25">
      <c r="D55" s="8">
        <v>50</v>
      </c>
      <c r="E55" s="6">
        <v>46241</v>
      </c>
      <c r="F55" s="6" t="s">
        <v>106</v>
      </c>
      <c r="H55" s="6" t="s">
        <v>21</v>
      </c>
      <c r="I55" s="6" t="s">
        <v>22</v>
      </c>
      <c r="J55" s="6">
        <v>1850000</v>
      </c>
      <c r="K55" s="6">
        <v>1</v>
      </c>
      <c r="L55" s="6">
        <v>25000</v>
      </c>
      <c r="M55" s="6">
        <v>1825000</v>
      </c>
    </row>
    <row r="56" spans="4:13" x14ac:dyDescent="0.25">
      <c r="D56" s="8">
        <v>51</v>
      </c>
      <c r="E56" s="6">
        <v>46029</v>
      </c>
      <c r="F56" s="6" t="s">
        <v>107</v>
      </c>
      <c r="H56" s="6" t="s">
        <v>79</v>
      </c>
      <c r="I56" s="6" t="s">
        <v>26</v>
      </c>
      <c r="J56" s="6">
        <v>460000</v>
      </c>
      <c r="K56" s="6">
        <v>5</v>
      </c>
      <c r="L56" s="6">
        <v>15000</v>
      </c>
      <c r="M56" s="6">
        <v>2285000</v>
      </c>
    </row>
    <row r="57" spans="4:13" x14ac:dyDescent="0.25">
      <c r="D57" s="8">
        <v>52</v>
      </c>
      <c r="E57" s="6" t="s">
        <v>55</v>
      </c>
      <c r="F57" s="6" t="s">
        <v>108</v>
      </c>
      <c r="H57" s="6" t="s">
        <v>21</v>
      </c>
      <c r="I57" s="6" t="s">
        <v>22</v>
      </c>
      <c r="J57" s="6">
        <v>1850000</v>
      </c>
      <c r="K57" s="6">
        <v>1</v>
      </c>
      <c r="L57" s="6">
        <v>5000</v>
      </c>
      <c r="M57" s="6">
        <v>1845000</v>
      </c>
    </row>
    <row r="58" spans="4:13" x14ac:dyDescent="0.25">
      <c r="D58" s="8">
        <v>53</v>
      </c>
      <c r="E58" s="6" t="s">
        <v>63</v>
      </c>
      <c r="F58" s="6" t="s">
        <v>109</v>
      </c>
      <c r="H58" s="6" t="s">
        <v>71</v>
      </c>
      <c r="I58" s="6" t="s">
        <v>29</v>
      </c>
      <c r="J58" s="6">
        <v>180000</v>
      </c>
      <c r="K58" s="6">
        <v>2</v>
      </c>
      <c r="L58" s="6">
        <v>5000</v>
      </c>
      <c r="M58" s="6">
        <v>355000</v>
      </c>
    </row>
    <row r="59" spans="4:13" x14ac:dyDescent="0.25">
      <c r="D59" s="8">
        <v>54</v>
      </c>
      <c r="E59" s="6" t="s">
        <v>110</v>
      </c>
      <c r="F59" s="6" t="s">
        <v>111</v>
      </c>
      <c r="H59" s="6" t="s">
        <v>71</v>
      </c>
      <c r="I59" s="6" t="s">
        <v>29</v>
      </c>
      <c r="J59" s="6">
        <v>180000</v>
      </c>
      <c r="K59" s="6">
        <v>3</v>
      </c>
      <c r="L59" s="6">
        <v>5000</v>
      </c>
      <c r="M59" s="6">
        <v>535000</v>
      </c>
    </row>
    <row r="60" spans="4:13" x14ac:dyDescent="0.25">
      <c r="D60" s="8">
        <v>55</v>
      </c>
      <c r="E60" s="6" t="s">
        <v>86</v>
      </c>
      <c r="F60" s="6" t="s">
        <v>112</v>
      </c>
      <c r="H60" s="6" t="s">
        <v>21</v>
      </c>
      <c r="I60" s="6" t="s">
        <v>22</v>
      </c>
      <c r="J60" s="6">
        <v>1850000</v>
      </c>
      <c r="K60" s="6">
        <v>3</v>
      </c>
      <c r="L60" s="6">
        <v>100000</v>
      </c>
      <c r="M60" s="6">
        <v>5450000</v>
      </c>
    </row>
    <row r="61" spans="4:13" x14ac:dyDescent="0.25">
      <c r="D61" s="8">
        <v>56</v>
      </c>
      <c r="E61" s="6">
        <v>46210</v>
      </c>
      <c r="F61" s="6" t="s">
        <v>113</v>
      </c>
      <c r="H61" s="6" t="s">
        <v>25</v>
      </c>
      <c r="I61" s="6" t="s">
        <v>26</v>
      </c>
      <c r="J61" s="6">
        <v>210000</v>
      </c>
      <c r="K61" s="6">
        <v>2</v>
      </c>
      <c r="L61" s="6">
        <v>100000</v>
      </c>
      <c r="M61" s="6">
        <v>320000</v>
      </c>
    </row>
    <row r="62" spans="4:13" x14ac:dyDescent="0.25">
      <c r="D62" s="8">
        <v>57</v>
      </c>
      <c r="E62" s="6">
        <v>46241</v>
      </c>
      <c r="F62" s="6" t="s">
        <v>114</v>
      </c>
      <c r="H62" s="6" t="s">
        <v>74</v>
      </c>
      <c r="I62" s="6" t="s">
        <v>39</v>
      </c>
      <c r="J62" s="6">
        <v>390000</v>
      </c>
      <c r="K62" s="6">
        <v>4</v>
      </c>
      <c r="L62" s="6">
        <v>15000</v>
      </c>
      <c r="M62" s="6">
        <v>1545000</v>
      </c>
    </row>
    <row r="63" spans="4:13" x14ac:dyDescent="0.25">
      <c r="D63" s="8">
        <v>58</v>
      </c>
      <c r="E63" s="6">
        <v>46119</v>
      </c>
      <c r="F63" s="6" t="s">
        <v>115</v>
      </c>
      <c r="H63" s="6" t="s">
        <v>18</v>
      </c>
      <c r="I63" s="6" t="s">
        <v>19</v>
      </c>
      <c r="J63" s="6">
        <v>95000</v>
      </c>
      <c r="K63" s="6">
        <v>4</v>
      </c>
      <c r="L63" s="6">
        <v>25000</v>
      </c>
      <c r="M63" s="6">
        <v>355000</v>
      </c>
    </row>
    <row r="64" spans="4:13" x14ac:dyDescent="0.25">
      <c r="D64" s="8">
        <v>59</v>
      </c>
      <c r="E64" s="6" t="s">
        <v>91</v>
      </c>
      <c r="F64" s="6" t="s">
        <v>116</v>
      </c>
      <c r="H64" s="6" t="s">
        <v>117</v>
      </c>
      <c r="I64" s="6" t="s">
        <v>19</v>
      </c>
      <c r="J64" s="6">
        <v>950000</v>
      </c>
      <c r="K64" s="6">
        <v>4</v>
      </c>
      <c r="L64" s="6">
        <v>0</v>
      </c>
      <c r="M64" s="6">
        <v>3800000</v>
      </c>
    </row>
    <row r="65" spans="4:13" x14ac:dyDescent="0.25">
      <c r="D65" s="8">
        <v>60</v>
      </c>
      <c r="E65" s="6" t="s">
        <v>23</v>
      </c>
      <c r="F65" s="6" t="s">
        <v>118</v>
      </c>
      <c r="H65" s="6" t="s">
        <v>18</v>
      </c>
      <c r="I65" s="6" t="s">
        <v>19</v>
      </c>
      <c r="J65" s="6">
        <v>95000</v>
      </c>
      <c r="K65" s="6">
        <v>1</v>
      </c>
      <c r="L65" s="6">
        <v>50000</v>
      </c>
      <c r="M65" s="6">
        <v>45000</v>
      </c>
    </row>
    <row r="66" spans="4:13" x14ac:dyDescent="0.25">
      <c r="D66" s="8">
        <v>61</v>
      </c>
      <c r="E66" s="6" t="s">
        <v>76</v>
      </c>
      <c r="F66" s="6" t="s">
        <v>119</v>
      </c>
      <c r="H66" s="6" t="s">
        <v>47</v>
      </c>
      <c r="I66" s="6" t="s">
        <v>29</v>
      </c>
      <c r="J66" s="6">
        <v>85000</v>
      </c>
      <c r="K66" s="6">
        <v>1</v>
      </c>
      <c r="L66" s="6">
        <v>15000</v>
      </c>
      <c r="M66" s="6">
        <v>70000</v>
      </c>
    </row>
    <row r="67" spans="4:13" x14ac:dyDescent="0.25">
      <c r="D67" s="8">
        <v>62</v>
      </c>
      <c r="E67" s="6">
        <v>46210</v>
      </c>
      <c r="F67" s="6" t="s">
        <v>120</v>
      </c>
      <c r="H67" s="6" t="s">
        <v>35</v>
      </c>
      <c r="I67" s="6" t="s">
        <v>36</v>
      </c>
      <c r="J67" s="6">
        <v>695000</v>
      </c>
      <c r="K67" s="6">
        <v>5</v>
      </c>
      <c r="L67" s="6">
        <v>100000</v>
      </c>
      <c r="M67" s="6">
        <v>3375000</v>
      </c>
    </row>
    <row r="68" spans="4:13" x14ac:dyDescent="0.25">
      <c r="D68" s="8">
        <v>63</v>
      </c>
      <c r="E68" s="6">
        <v>46149</v>
      </c>
      <c r="F68" s="6" t="s">
        <v>121</v>
      </c>
      <c r="H68" s="6" t="s">
        <v>117</v>
      </c>
      <c r="I68" s="6" t="s">
        <v>19</v>
      </c>
      <c r="J68" s="6">
        <v>950000</v>
      </c>
      <c r="K68" s="6">
        <v>2</v>
      </c>
      <c r="L68" s="6">
        <v>20000</v>
      </c>
      <c r="M68" s="6">
        <v>1880000</v>
      </c>
    </row>
    <row r="69" spans="4:13" x14ac:dyDescent="0.25">
      <c r="D69" s="8">
        <v>64</v>
      </c>
      <c r="E69" s="6" t="s">
        <v>104</v>
      </c>
      <c r="F69" s="6" t="s">
        <v>122</v>
      </c>
      <c r="H69" s="6" t="s">
        <v>21</v>
      </c>
      <c r="I69" s="6" t="s">
        <v>22</v>
      </c>
      <c r="J69" s="6">
        <v>1850000</v>
      </c>
      <c r="K69" s="6">
        <v>1</v>
      </c>
      <c r="L69" s="6">
        <v>100000</v>
      </c>
      <c r="M69" s="6">
        <v>1750000</v>
      </c>
    </row>
    <row r="70" spans="4:13" x14ac:dyDescent="0.25">
      <c r="D70" s="8">
        <v>65</v>
      </c>
      <c r="E70" s="6" t="s">
        <v>40</v>
      </c>
      <c r="F70" s="6" t="s">
        <v>123</v>
      </c>
      <c r="H70" s="6" t="s">
        <v>25</v>
      </c>
      <c r="I70" s="6" t="s">
        <v>26</v>
      </c>
      <c r="J70" s="6">
        <v>210000</v>
      </c>
      <c r="K70" s="6">
        <v>1</v>
      </c>
      <c r="L70" s="6">
        <v>0</v>
      </c>
      <c r="M70" s="6">
        <v>210000</v>
      </c>
    </row>
    <row r="71" spans="4:13" x14ac:dyDescent="0.25">
      <c r="D71" s="8">
        <v>66</v>
      </c>
      <c r="E71" s="6" t="s">
        <v>16</v>
      </c>
      <c r="F71" s="6" t="s">
        <v>124</v>
      </c>
      <c r="H71" s="6" t="s">
        <v>25</v>
      </c>
      <c r="I71" s="6" t="s">
        <v>26</v>
      </c>
      <c r="J71" s="6">
        <v>210000</v>
      </c>
      <c r="K71" s="6">
        <v>1</v>
      </c>
      <c r="L71" s="6">
        <v>5000</v>
      </c>
      <c r="M71" s="6">
        <v>205000</v>
      </c>
    </row>
    <row r="72" spans="4:13" x14ac:dyDescent="0.25">
      <c r="D72" s="8">
        <v>67</v>
      </c>
      <c r="E72" s="6" t="s">
        <v>125</v>
      </c>
      <c r="F72" s="6" t="s">
        <v>126</v>
      </c>
      <c r="H72" s="6" t="s">
        <v>21</v>
      </c>
      <c r="I72" s="6" t="s">
        <v>22</v>
      </c>
      <c r="J72" s="6">
        <v>1850000</v>
      </c>
      <c r="K72" s="6">
        <v>2</v>
      </c>
      <c r="L72" s="6">
        <v>50000</v>
      </c>
      <c r="M72" s="6">
        <v>3650000</v>
      </c>
    </row>
    <row r="73" spans="4:13" x14ac:dyDescent="0.25">
      <c r="D73" s="8">
        <v>68</v>
      </c>
      <c r="E73" s="6" t="s">
        <v>127</v>
      </c>
      <c r="F73" s="6" t="s">
        <v>128</v>
      </c>
      <c r="H73" s="6" t="s">
        <v>74</v>
      </c>
      <c r="I73" s="6" t="s">
        <v>39</v>
      </c>
      <c r="J73" s="6">
        <v>390000</v>
      </c>
      <c r="K73" s="6">
        <v>2</v>
      </c>
      <c r="L73" s="6">
        <v>50000</v>
      </c>
      <c r="M73" s="6">
        <v>730000</v>
      </c>
    </row>
    <row r="74" spans="4:13" x14ac:dyDescent="0.25">
      <c r="D74" s="8">
        <v>69</v>
      </c>
      <c r="E74" s="6" t="s">
        <v>110</v>
      </c>
      <c r="F74" s="6" t="s">
        <v>129</v>
      </c>
      <c r="H74" s="6" t="s">
        <v>71</v>
      </c>
      <c r="I74" s="6" t="s">
        <v>29</v>
      </c>
      <c r="J74" s="6">
        <v>180000</v>
      </c>
      <c r="K74" s="6">
        <v>2</v>
      </c>
      <c r="L74" s="6">
        <v>50000</v>
      </c>
      <c r="M74" s="6">
        <v>310000</v>
      </c>
    </row>
    <row r="75" spans="4:13" x14ac:dyDescent="0.25">
      <c r="D75" s="8">
        <v>70</v>
      </c>
      <c r="E75" s="6">
        <v>46029</v>
      </c>
      <c r="F75" s="6" t="s">
        <v>130</v>
      </c>
      <c r="H75" s="6" t="s">
        <v>85</v>
      </c>
      <c r="I75" s="6" t="s">
        <v>29</v>
      </c>
      <c r="J75" s="6">
        <v>180000</v>
      </c>
      <c r="K75" s="6">
        <v>3</v>
      </c>
      <c r="L75" s="6">
        <v>100000</v>
      </c>
      <c r="M75" s="6">
        <v>440000</v>
      </c>
    </row>
    <row r="76" spans="4:13" x14ac:dyDescent="0.25">
      <c r="D76" s="8">
        <v>71</v>
      </c>
      <c r="E76" s="6">
        <v>46302</v>
      </c>
      <c r="F76" s="6" t="s">
        <v>131</v>
      </c>
      <c r="H76" s="6" t="s">
        <v>117</v>
      </c>
      <c r="I76" s="6" t="s">
        <v>19</v>
      </c>
      <c r="J76" s="6">
        <v>950000</v>
      </c>
      <c r="K76" s="6">
        <v>5</v>
      </c>
      <c r="L76" s="6">
        <v>100000</v>
      </c>
      <c r="M76" s="6">
        <v>4650000</v>
      </c>
    </row>
    <row r="77" spans="4:13" x14ac:dyDescent="0.25">
      <c r="D77" s="8">
        <v>72</v>
      </c>
      <c r="E77" s="6">
        <v>46149</v>
      </c>
      <c r="F77" s="6" t="s">
        <v>132</v>
      </c>
      <c r="H77" s="6" t="s">
        <v>35</v>
      </c>
      <c r="I77" s="6" t="s">
        <v>36</v>
      </c>
      <c r="J77" s="6">
        <v>695000</v>
      </c>
      <c r="K77" s="6">
        <v>3</v>
      </c>
      <c r="L77" s="6">
        <v>15000</v>
      </c>
      <c r="M77" s="6">
        <v>2070000</v>
      </c>
    </row>
    <row r="78" spans="4:13" x14ac:dyDescent="0.25">
      <c r="D78" s="8">
        <v>73</v>
      </c>
      <c r="E78" s="6" t="s">
        <v>45</v>
      </c>
      <c r="F78" s="6" t="s">
        <v>133</v>
      </c>
      <c r="H78" s="6" t="s">
        <v>71</v>
      </c>
      <c r="I78" s="6" t="s">
        <v>29</v>
      </c>
      <c r="J78" s="6">
        <v>180000</v>
      </c>
      <c r="K78" s="6">
        <v>5</v>
      </c>
      <c r="L78" s="6">
        <v>0</v>
      </c>
      <c r="M78" s="6">
        <v>900000</v>
      </c>
    </row>
    <row r="79" spans="4:13" x14ac:dyDescent="0.25">
      <c r="D79" s="8">
        <v>74</v>
      </c>
      <c r="E79" s="6" t="s">
        <v>76</v>
      </c>
      <c r="F79" s="6" t="s">
        <v>134</v>
      </c>
      <c r="H79" s="6" t="s">
        <v>47</v>
      </c>
      <c r="I79" s="6" t="s">
        <v>29</v>
      </c>
      <c r="J79" s="6">
        <v>85000</v>
      </c>
      <c r="K79" s="6">
        <v>1</v>
      </c>
      <c r="L79" s="6">
        <v>0</v>
      </c>
      <c r="M79" s="6">
        <v>85000</v>
      </c>
    </row>
    <row r="80" spans="4:13" x14ac:dyDescent="0.25">
      <c r="D80" s="8">
        <v>75</v>
      </c>
      <c r="E80" s="6" t="s">
        <v>55</v>
      </c>
      <c r="F80" s="6" t="s">
        <v>135</v>
      </c>
      <c r="H80" s="6" t="s">
        <v>74</v>
      </c>
      <c r="I80" s="6" t="s">
        <v>39</v>
      </c>
      <c r="J80" s="6">
        <v>390000</v>
      </c>
      <c r="K80" s="6">
        <v>5</v>
      </c>
      <c r="L80" s="6">
        <v>10000</v>
      </c>
      <c r="M80" s="6">
        <v>1940000</v>
      </c>
    </row>
    <row r="81" spans="4:13" x14ac:dyDescent="0.25">
      <c r="D81" s="8">
        <v>76</v>
      </c>
      <c r="E81" s="6">
        <v>46060</v>
      </c>
      <c r="F81" s="6" t="s">
        <v>136</v>
      </c>
      <c r="H81" s="6" t="s">
        <v>31</v>
      </c>
      <c r="I81" s="6" t="s">
        <v>32</v>
      </c>
      <c r="J81" s="6">
        <v>720000</v>
      </c>
      <c r="K81" s="6">
        <v>1</v>
      </c>
      <c r="L81" s="6">
        <v>10000</v>
      </c>
      <c r="M81" s="6">
        <v>710000</v>
      </c>
    </row>
    <row r="82" spans="4:13" x14ac:dyDescent="0.25">
      <c r="D82" s="8">
        <v>77</v>
      </c>
      <c r="E82" s="6">
        <v>46088</v>
      </c>
      <c r="F82" s="6" t="s">
        <v>137</v>
      </c>
      <c r="H82" s="6" t="s">
        <v>138</v>
      </c>
      <c r="I82" s="6" t="s">
        <v>29</v>
      </c>
      <c r="J82" s="6">
        <v>75000</v>
      </c>
      <c r="K82" s="6">
        <v>1</v>
      </c>
      <c r="L82" s="6">
        <v>15000</v>
      </c>
      <c r="M82" s="6">
        <v>60000</v>
      </c>
    </row>
    <row r="83" spans="4:13" x14ac:dyDescent="0.25">
      <c r="D83" s="8">
        <v>78</v>
      </c>
      <c r="E83" s="6" t="s">
        <v>48</v>
      </c>
      <c r="F83" s="6" t="s">
        <v>139</v>
      </c>
      <c r="H83" s="6" t="s">
        <v>18</v>
      </c>
      <c r="I83" s="6" t="s">
        <v>19</v>
      </c>
      <c r="J83" s="6">
        <v>95000</v>
      </c>
      <c r="K83" s="6">
        <v>5</v>
      </c>
      <c r="L83" s="6">
        <v>15000</v>
      </c>
      <c r="M83" s="6">
        <v>460000</v>
      </c>
    </row>
    <row r="84" spans="4:13" x14ac:dyDescent="0.25">
      <c r="D84" s="8">
        <v>79</v>
      </c>
      <c r="E84" s="6" t="s">
        <v>55</v>
      </c>
      <c r="F84" s="6" t="s">
        <v>140</v>
      </c>
      <c r="H84" s="6" t="s">
        <v>138</v>
      </c>
      <c r="I84" s="6" t="s">
        <v>29</v>
      </c>
      <c r="J84" s="6">
        <v>75000</v>
      </c>
      <c r="K84" s="6">
        <v>1</v>
      </c>
      <c r="L84" s="6">
        <v>5000</v>
      </c>
      <c r="M84" s="6">
        <v>70000</v>
      </c>
    </row>
    <row r="85" spans="4:13" x14ac:dyDescent="0.25">
      <c r="D85" s="8">
        <v>80</v>
      </c>
      <c r="E85" s="6" t="s">
        <v>91</v>
      </c>
      <c r="F85" s="6" t="s">
        <v>141</v>
      </c>
      <c r="H85" s="6" t="s">
        <v>79</v>
      </c>
      <c r="I85" s="6" t="s">
        <v>26</v>
      </c>
      <c r="J85" s="6">
        <v>460000</v>
      </c>
      <c r="K85" s="6">
        <v>5</v>
      </c>
      <c r="L85" s="6">
        <v>25000</v>
      </c>
      <c r="M85" s="6">
        <v>2275000</v>
      </c>
    </row>
    <row r="86" spans="4:13" x14ac:dyDescent="0.25">
      <c r="D86" s="8">
        <v>81</v>
      </c>
      <c r="E86" s="6" t="s">
        <v>125</v>
      </c>
      <c r="F86" s="6" t="s">
        <v>142</v>
      </c>
      <c r="H86" s="6" t="s">
        <v>43</v>
      </c>
      <c r="I86" s="6" t="s">
        <v>44</v>
      </c>
      <c r="J86" s="6">
        <v>2450000</v>
      </c>
      <c r="K86" s="6">
        <v>2</v>
      </c>
      <c r="L86" s="6">
        <v>25000</v>
      </c>
      <c r="M86" s="6">
        <v>4875000</v>
      </c>
    </row>
    <row r="87" spans="4:13" x14ac:dyDescent="0.25">
      <c r="D87" s="8">
        <v>82</v>
      </c>
      <c r="E87" s="6">
        <v>46241</v>
      </c>
      <c r="F87" s="6" t="s">
        <v>143</v>
      </c>
      <c r="H87" s="6" t="s">
        <v>43</v>
      </c>
      <c r="I87" s="6" t="s">
        <v>44</v>
      </c>
      <c r="J87" s="6">
        <v>2450000</v>
      </c>
      <c r="K87" s="6">
        <v>4</v>
      </c>
      <c r="L87" s="6">
        <v>10000</v>
      </c>
      <c r="M87" s="6">
        <v>9790000</v>
      </c>
    </row>
    <row r="88" spans="4:13" x14ac:dyDescent="0.25">
      <c r="D88" s="8">
        <v>83</v>
      </c>
      <c r="E88" s="6" t="s">
        <v>23</v>
      </c>
      <c r="F88" s="6" t="s">
        <v>144</v>
      </c>
      <c r="H88" s="6" t="s">
        <v>54</v>
      </c>
      <c r="I88" s="6" t="s">
        <v>29</v>
      </c>
      <c r="J88" s="6">
        <v>350000</v>
      </c>
      <c r="K88" s="6">
        <v>4</v>
      </c>
      <c r="L88" s="6">
        <v>25000</v>
      </c>
      <c r="M88" s="6">
        <v>1375000</v>
      </c>
    </row>
    <row r="89" spans="4:13" x14ac:dyDescent="0.25">
      <c r="D89" s="8">
        <v>84</v>
      </c>
      <c r="E89" s="6" t="s">
        <v>125</v>
      </c>
      <c r="F89" s="6" t="s">
        <v>145</v>
      </c>
      <c r="H89" s="6" t="s">
        <v>65</v>
      </c>
      <c r="I89" s="6" t="s">
        <v>29</v>
      </c>
      <c r="J89" s="6">
        <v>275000</v>
      </c>
      <c r="K89" s="6">
        <v>1</v>
      </c>
      <c r="L89" s="6">
        <v>100000</v>
      </c>
      <c r="M89" s="6">
        <v>175000</v>
      </c>
    </row>
    <row r="90" spans="4:13" x14ac:dyDescent="0.25">
      <c r="D90" s="8">
        <v>85</v>
      </c>
      <c r="E90" s="6" t="s">
        <v>50</v>
      </c>
      <c r="F90" s="6" t="s">
        <v>146</v>
      </c>
      <c r="H90" s="6" t="s">
        <v>79</v>
      </c>
      <c r="I90" s="6" t="s">
        <v>26</v>
      </c>
      <c r="J90" s="6">
        <v>460000</v>
      </c>
      <c r="K90" s="6">
        <v>1</v>
      </c>
      <c r="L90" s="6">
        <v>5000</v>
      </c>
      <c r="M90" s="6">
        <v>455000</v>
      </c>
    </row>
    <row r="91" spans="4:13" x14ac:dyDescent="0.25">
      <c r="D91" s="8">
        <v>86</v>
      </c>
      <c r="E91" s="6" t="s">
        <v>33</v>
      </c>
      <c r="F91" s="6" t="s">
        <v>147</v>
      </c>
      <c r="H91" s="6" t="s">
        <v>35</v>
      </c>
      <c r="I91" s="6" t="s">
        <v>36</v>
      </c>
      <c r="J91" s="6">
        <v>695000</v>
      </c>
      <c r="K91" s="6">
        <v>5</v>
      </c>
      <c r="L91" s="6">
        <v>20000</v>
      </c>
      <c r="M91" s="6">
        <v>3455000</v>
      </c>
    </row>
    <row r="92" spans="4:13" x14ac:dyDescent="0.25">
      <c r="D92" s="8">
        <v>87</v>
      </c>
      <c r="E92" s="6">
        <v>46149</v>
      </c>
      <c r="F92" s="6" t="s">
        <v>148</v>
      </c>
      <c r="H92" s="6" t="s">
        <v>62</v>
      </c>
      <c r="I92" s="6" t="s">
        <v>29</v>
      </c>
      <c r="J92" s="6">
        <v>220000</v>
      </c>
      <c r="K92" s="6">
        <v>1</v>
      </c>
      <c r="L92" s="6">
        <v>15000</v>
      </c>
      <c r="M92" s="6">
        <v>205000</v>
      </c>
    </row>
    <row r="93" spans="4:13" x14ac:dyDescent="0.25">
      <c r="D93" s="8">
        <v>88</v>
      </c>
      <c r="E93" s="6">
        <v>46363</v>
      </c>
      <c r="F93" s="6" t="s">
        <v>149</v>
      </c>
      <c r="H93" s="6" t="s">
        <v>54</v>
      </c>
      <c r="I93" s="6" t="s">
        <v>29</v>
      </c>
      <c r="J93" s="6">
        <v>350000</v>
      </c>
      <c r="K93" s="6">
        <v>2</v>
      </c>
      <c r="L93" s="6">
        <v>100000</v>
      </c>
      <c r="M93" s="6">
        <v>600000</v>
      </c>
    </row>
    <row r="94" spans="4:13" x14ac:dyDescent="0.25">
      <c r="D94" s="8">
        <v>89</v>
      </c>
      <c r="E94" s="6" t="s">
        <v>69</v>
      </c>
      <c r="F94" s="6" t="s">
        <v>150</v>
      </c>
      <c r="H94" s="6" t="s">
        <v>25</v>
      </c>
      <c r="I94" s="6" t="s">
        <v>26</v>
      </c>
      <c r="J94" s="6">
        <v>210000</v>
      </c>
      <c r="K94" s="6">
        <v>3</v>
      </c>
      <c r="L94" s="6">
        <v>0</v>
      </c>
      <c r="M94" s="6">
        <v>630000</v>
      </c>
    </row>
    <row r="95" spans="4:13" x14ac:dyDescent="0.25">
      <c r="D95" s="8">
        <v>90</v>
      </c>
      <c r="E95" s="6" t="s">
        <v>23</v>
      </c>
      <c r="F95" s="6" t="s">
        <v>151</v>
      </c>
      <c r="H95" s="6" t="s">
        <v>25</v>
      </c>
      <c r="I95" s="6" t="s">
        <v>26</v>
      </c>
      <c r="J95" s="6">
        <v>210000</v>
      </c>
      <c r="K95" s="6">
        <v>3</v>
      </c>
      <c r="L95" s="6">
        <v>5000</v>
      </c>
      <c r="M95" s="6">
        <v>625000</v>
      </c>
    </row>
    <row r="96" spans="4:13" x14ac:dyDescent="0.25">
      <c r="D96" s="8">
        <v>91</v>
      </c>
      <c r="E96" s="6" t="s">
        <v>45</v>
      </c>
      <c r="F96" s="6" t="s">
        <v>152</v>
      </c>
      <c r="H96" s="6" t="s">
        <v>153</v>
      </c>
      <c r="I96" s="6" t="s">
        <v>19</v>
      </c>
      <c r="J96" s="6">
        <v>725000</v>
      </c>
      <c r="K96" s="6">
        <v>3</v>
      </c>
      <c r="L96" s="6">
        <v>5000</v>
      </c>
      <c r="M96" s="6">
        <v>2170000</v>
      </c>
    </row>
    <row r="97" spans="4:13" x14ac:dyDescent="0.25">
      <c r="D97" s="8">
        <v>92</v>
      </c>
      <c r="E97" s="6" t="s">
        <v>110</v>
      </c>
      <c r="F97" s="6" t="s">
        <v>154</v>
      </c>
      <c r="H97" s="6" t="s">
        <v>18</v>
      </c>
      <c r="I97" s="6" t="s">
        <v>19</v>
      </c>
      <c r="J97" s="6">
        <v>95000</v>
      </c>
      <c r="K97" s="6">
        <v>5</v>
      </c>
      <c r="L97" s="6">
        <v>10000</v>
      </c>
      <c r="M97" s="6">
        <v>465000</v>
      </c>
    </row>
    <row r="98" spans="4:13" x14ac:dyDescent="0.25">
      <c r="D98" s="8">
        <v>93</v>
      </c>
      <c r="E98" s="6">
        <v>46272</v>
      </c>
      <c r="F98" s="6" t="s">
        <v>155</v>
      </c>
      <c r="H98" s="6" t="s">
        <v>54</v>
      </c>
      <c r="I98" s="6" t="s">
        <v>29</v>
      </c>
      <c r="J98" s="6">
        <v>350000</v>
      </c>
      <c r="K98" s="6">
        <v>5</v>
      </c>
      <c r="L98" s="6">
        <v>15000</v>
      </c>
      <c r="M98" s="6">
        <v>1735000</v>
      </c>
    </row>
    <row r="99" spans="4:13" x14ac:dyDescent="0.25">
      <c r="D99" s="8">
        <v>94</v>
      </c>
      <c r="E99" s="6" t="s">
        <v>63</v>
      </c>
      <c r="F99" s="6" t="s">
        <v>156</v>
      </c>
      <c r="H99" s="6" t="s">
        <v>47</v>
      </c>
      <c r="I99" s="6" t="s">
        <v>29</v>
      </c>
      <c r="J99" s="6">
        <v>85000</v>
      </c>
      <c r="K99" s="6">
        <v>2</v>
      </c>
      <c r="L99" s="6">
        <v>20000</v>
      </c>
      <c r="M99" s="6">
        <v>150000</v>
      </c>
    </row>
    <row r="100" spans="4:13" x14ac:dyDescent="0.25">
      <c r="D100" s="8">
        <v>95</v>
      </c>
      <c r="E100" s="6" t="s">
        <v>86</v>
      </c>
      <c r="F100" s="6" t="s">
        <v>157</v>
      </c>
      <c r="H100" s="6" t="s">
        <v>74</v>
      </c>
      <c r="I100" s="6" t="s">
        <v>39</v>
      </c>
      <c r="J100" s="6">
        <v>390000</v>
      </c>
      <c r="K100" s="6">
        <v>3</v>
      </c>
      <c r="L100" s="6">
        <v>0</v>
      </c>
      <c r="M100" s="6">
        <v>1170000</v>
      </c>
    </row>
    <row r="101" spans="4:13" x14ac:dyDescent="0.25">
      <c r="D101" s="8">
        <v>96</v>
      </c>
      <c r="E101" s="6">
        <v>46088</v>
      </c>
      <c r="F101" s="6" t="s">
        <v>158</v>
      </c>
      <c r="H101" s="6" t="s">
        <v>117</v>
      </c>
      <c r="I101" s="6" t="s">
        <v>19</v>
      </c>
      <c r="J101" s="6">
        <v>950000</v>
      </c>
      <c r="K101" s="6">
        <v>3</v>
      </c>
      <c r="L101" s="6">
        <v>0</v>
      </c>
      <c r="M101" s="6">
        <v>2850000</v>
      </c>
    </row>
    <row r="102" spans="4:13" x14ac:dyDescent="0.25">
      <c r="D102" s="8">
        <v>97</v>
      </c>
      <c r="E102" s="6">
        <v>46029</v>
      </c>
      <c r="F102" s="6" t="s">
        <v>159</v>
      </c>
      <c r="H102" s="6" t="s">
        <v>47</v>
      </c>
      <c r="I102" s="6" t="s">
        <v>29</v>
      </c>
      <c r="J102" s="6">
        <v>85000</v>
      </c>
      <c r="K102" s="6">
        <v>2</v>
      </c>
      <c r="L102" s="6">
        <v>20000</v>
      </c>
      <c r="M102" s="6">
        <v>150000</v>
      </c>
    </row>
    <row r="103" spans="4:13" x14ac:dyDescent="0.25">
      <c r="D103" s="8">
        <v>98</v>
      </c>
      <c r="E103" s="6">
        <v>46180</v>
      </c>
      <c r="F103" s="6" t="s">
        <v>160</v>
      </c>
      <c r="H103" s="6" t="s">
        <v>38</v>
      </c>
      <c r="I103" s="6" t="s">
        <v>39</v>
      </c>
      <c r="J103" s="6">
        <v>420000</v>
      </c>
      <c r="K103" s="6">
        <v>5</v>
      </c>
      <c r="L103" s="6">
        <v>50000</v>
      </c>
      <c r="M103" s="6">
        <v>2050000</v>
      </c>
    </row>
    <row r="104" spans="4:13" x14ac:dyDescent="0.25">
      <c r="D104" s="8">
        <v>99</v>
      </c>
      <c r="E104" s="6" t="s">
        <v>33</v>
      </c>
      <c r="F104" s="6" t="s">
        <v>161</v>
      </c>
      <c r="H104" s="6" t="s">
        <v>28</v>
      </c>
      <c r="I104" s="6" t="s">
        <v>29</v>
      </c>
      <c r="J104" s="6">
        <v>125000</v>
      </c>
      <c r="K104" s="6">
        <v>1</v>
      </c>
      <c r="L104" s="6">
        <v>5000</v>
      </c>
      <c r="M104" s="6">
        <v>120000</v>
      </c>
    </row>
    <row r="105" spans="4:13" x14ac:dyDescent="0.25">
      <c r="D105" s="4">
        <v>100</v>
      </c>
      <c r="E105" s="7" t="s">
        <v>45</v>
      </c>
      <c r="F105" s="7" t="s">
        <v>162</v>
      </c>
      <c r="H105" s="7" t="s">
        <v>153</v>
      </c>
      <c r="I105" s="7" t="s">
        <v>19</v>
      </c>
      <c r="J105" s="7">
        <v>725000</v>
      </c>
      <c r="K105" s="7">
        <v>5</v>
      </c>
      <c r="L105" s="7">
        <v>0</v>
      </c>
      <c r="M105" s="7">
        <v>3625000</v>
      </c>
    </row>
  </sheetData>
  <mergeCells count="1">
    <mergeCell ref="B3:C3"/>
  </mergeCells>
  <dataValidations count="1">
    <dataValidation type="list" allowBlank="1" showInputMessage="1" showErrorMessage="1" sqref="G6:G105" xr:uid="{7DDB9F01-016C-40D1-9876-3AC073E4FF7E}">
      <formula1>KodeProduk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5B554-E764-447C-AC09-23805B76D7ED}">
  <dimension ref="B2:H23"/>
  <sheetViews>
    <sheetView zoomScaleNormal="100" workbookViewId="0">
      <selection activeCell="J6" sqref="J6"/>
    </sheetView>
  </sheetViews>
  <sheetFormatPr defaultRowHeight="21.75" customHeight="1" x14ac:dyDescent="0.25"/>
  <cols>
    <col min="4" max="4" width="5.7109375" customWidth="1"/>
    <col min="5" max="5" width="22.140625" customWidth="1"/>
    <col min="6" max="6" width="14.140625" customWidth="1"/>
    <col min="7" max="7" width="11.42578125" customWidth="1"/>
  </cols>
  <sheetData>
    <row r="2" spans="2:8" ht="21.75" customHeight="1" x14ac:dyDescent="0.25">
      <c r="B2" s="2" t="s">
        <v>163</v>
      </c>
      <c r="C2" s="2"/>
    </row>
    <row r="3" spans="2:8" ht="21.75" customHeight="1" x14ac:dyDescent="0.25">
      <c r="D3" t="s">
        <v>3</v>
      </c>
      <c r="E3" t="s">
        <v>164</v>
      </c>
      <c r="F3" t="s">
        <v>4</v>
      </c>
      <c r="G3" t="s">
        <v>5</v>
      </c>
      <c r="H3" t="s">
        <v>6</v>
      </c>
    </row>
    <row r="4" spans="2:8" ht="21.75" customHeight="1" x14ac:dyDescent="0.25">
      <c r="D4" s="1">
        <v>1</v>
      </c>
      <c r="E4" t="str">
        <f>"PR"&amp;TEXT(ROW()-3,"000")</f>
        <v>PR001</v>
      </c>
      <c r="F4" s="1" t="s">
        <v>28</v>
      </c>
      <c r="G4" s="1" t="s">
        <v>29</v>
      </c>
      <c r="H4" s="1">
        <v>125000</v>
      </c>
    </row>
    <row r="5" spans="2:8" ht="21.75" customHeight="1" x14ac:dyDescent="0.25">
      <c r="D5" s="1">
        <v>2</v>
      </c>
      <c r="E5" t="str">
        <f t="shared" ref="E5:E23" si="0">"PR"&amp;TEXT(ROW()-3,"000")</f>
        <v>PR002</v>
      </c>
      <c r="F5" s="1" t="s">
        <v>71</v>
      </c>
      <c r="G5" s="1" t="s">
        <v>29</v>
      </c>
      <c r="H5" s="1">
        <v>180000</v>
      </c>
    </row>
    <row r="6" spans="2:8" ht="21.75" customHeight="1" x14ac:dyDescent="0.25">
      <c r="D6" s="1">
        <v>3</v>
      </c>
      <c r="E6" t="str">
        <f t="shared" si="0"/>
        <v>PR003</v>
      </c>
      <c r="F6" s="1" t="s">
        <v>65</v>
      </c>
      <c r="G6" s="1" t="s">
        <v>29</v>
      </c>
      <c r="H6" s="1">
        <v>275000</v>
      </c>
    </row>
    <row r="7" spans="2:8" ht="21.75" customHeight="1" x14ac:dyDescent="0.25">
      <c r="D7" s="1">
        <v>4</v>
      </c>
      <c r="E7" t="str">
        <f t="shared" si="0"/>
        <v>PR004</v>
      </c>
      <c r="F7" s="1" t="s">
        <v>18</v>
      </c>
      <c r="G7" s="1" t="s">
        <v>19</v>
      </c>
      <c r="H7" s="1">
        <v>95000</v>
      </c>
    </row>
    <row r="8" spans="2:8" ht="21.75" customHeight="1" x14ac:dyDescent="0.25">
      <c r="D8" s="1">
        <v>5</v>
      </c>
      <c r="E8" t="str">
        <f t="shared" si="0"/>
        <v>PR005</v>
      </c>
      <c r="F8" s="1" t="s">
        <v>153</v>
      </c>
      <c r="G8" s="1" t="s">
        <v>19</v>
      </c>
      <c r="H8" s="1">
        <v>725000</v>
      </c>
    </row>
    <row r="9" spans="2:8" ht="21.75" customHeight="1" x14ac:dyDescent="0.25">
      <c r="D9" s="1">
        <v>6</v>
      </c>
      <c r="E9" t="str">
        <f t="shared" si="0"/>
        <v>PR006</v>
      </c>
      <c r="F9" s="1" t="s">
        <v>83</v>
      </c>
      <c r="G9" s="1" t="s">
        <v>36</v>
      </c>
      <c r="H9" s="1">
        <v>385000</v>
      </c>
    </row>
    <row r="10" spans="2:8" ht="21.75" customHeight="1" x14ac:dyDescent="0.25">
      <c r="D10" s="1">
        <v>7</v>
      </c>
      <c r="E10" t="str">
        <f t="shared" si="0"/>
        <v>PR007</v>
      </c>
      <c r="F10" s="1" t="s">
        <v>35</v>
      </c>
      <c r="G10" s="1" t="s">
        <v>36</v>
      </c>
      <c r="H10" s="1">
        <v>695000</v>
      </c>
    </row>
    <row r="11" spans="2:8" ht="21.75" customHeight="1" x14ac:dyDescent="0.25">
      <c r="D11" s="1">
        <v>8</v>
      </c>
      <c r="E11" t="str">
        <f t="shared" si="0"/>
        <v>PR008</v>
      </c>
      <c r="F11" s="1" t="s">
        <v>21</v>
      </c>
      <c r="G11" s="1" t="s">
        <v>22</v>
      </c>
      <c r="H11" s="1">
        <v>1850000</v>
      </c>
    </row>
    <row r="12" spans="2:8" ht="21.75" customHeight="1" x14ac:dyDescent="0.25">
      <c r="D12" s="1">
        <v>9</v>
      </c>
      <c r="E12" t="str">
        <f t="shared" si="0"/>
        <v>PR009</v>
      </c>
      <c r="F12" s="1" t="s">
        <v>43</v>
      </c>
      <c r="G12" s="1" t="s">
        <v>44</v>
      </c>
      <c r="H12" s="1">
        <v>2450000</v>
      </c>
    </row>
    <row r="13" spans="2:8" ht="21.75" customHeight="1" x14ac:dyDescent="0.25">
      <c r="D13" s="1">
        <v>10</v>
      </c>
      <c r="E13" t="str">
        <f t="shared" si="0"/>
        <v>PR010</v>
      </c>
      <c r="F13" s="1" t="s">
        <v>54</v>
      </c>
      <c r="G13" s="1" t="s">
        <v>29</v>
      </c>
      <c r="H13" s="1">
        <v>350000</v>
      </c>
    </row>
    <row r="14" spans="2:8" ht="21.75" customHeight="1" x14ac:dyDescent="0.25">
      <c r="D14" s="1">
        <v>11</v>
      </c>
      <c r="E14" t="str">
        <f t="shared" si="0"/>
        <v>PR011</v>
      </c>
      <c r="F14" s="1" t="s">
        <v>47</v>
      </c>
      <c r="G14" s="1" t="s">
        <v>29</v>
      </c>
      <c r="H14" s="1">
        <v>85000</v>
      </c>
    </row>
    <row r="15" spans="2:8" ht="21.75" customHeight="1" x14ac:dyDescent="0.25">
      <c r="D15" s="1">
        <v>12</v>
      </c>
      <c r="E15" t="str">
        <f t="shared" si="0"/>
        <v>PR012</v>
      </c>
      <c r="F15" s="1" t="s">
        <v>62</v>
      </c>
      <c r="G15" s="1" t="s">
        <v>29</v>
      </c>
      <c r="H15" s="1">
        <v>220000</v>
      </c>
    </row>
    <row r="16" spans="2:8" ht="21.75" customHeight="1" x14ac:dyDescent="0.25">
      <c r="D16" s="1">
        <v>13</v>
      </c>
      <c r="E16" t="str">
        <f t="shared" si="0"/>
        <v>PR013</v>
      </c>
      <c r="F16" s="1" t="s">
        <v>85</v>
      </c>
      <c r="G16" s="1" t="s">
        <v>29</v>
      </c>
      <c r="H16" s="1">
        <v>180000</v>
      </c>
    </row>
    <row r="17" spans="4:8" ht="21.75" customHeight="1" x14ac:dyDescent="0.25">
      <c r="D17" s="1">
        <v>14</v>
      </c>
      <c r="E17" t="str">
        <f t="shared" si="0"/>
        <v>PR014</v>
      </c>
      <c r="F17" s="1" t="s">
        <v>117</v>
      </c>
      <c r="G17" s="1" t="s">
        <v>19</v>
      </c>
      <c r="H17" s="1">
        <v>950000</v>
      </c>
    </row>
    <row r="18" spans="4:8" ht="21.75" customHeight="1" x14ac:dyDescent="0.25">
      <c r="D18" s="1">
        <v>15</v>
      </c>
      <c r="E18" t="str">
        <f t="shared" si="0"/>
        <v>PR015</v>
      </c>
      <c r="F18" s="1" t="s">
        <v>38</v>
      </c>
      <c r="G18" s="1" t="s">
        <v>39</v>
      </c>
      <c r="H18" s="1">
        <v>420000</v>
      </c>
    </row>
    <row r="19" spans="4:8" ht="21.75" customHeight="1" x14ac:dyDescent="0.25">
      <c r="D19" s="1">
        <v>16</v>
      </c>
      <c r="E19" t="str">
        <f t="shared" si="0"/>
        <v>PR016</v>
      </c>
      <c r="F19" s="1" t="s">
        <v>74</v>
      </c>
      <c r="G19" s="1" t="s">
        <v>39</v>
      </c>
      <c r="H19" s="1">
        <v>390000</v>
      </c>
    </row>
    <row r="20" spans="4:8" ht="21.75" customHeight="1" x14ac:dyDescent="0.25">
      <c r="D20" s="1">
        <v>17</v>
      </c>
      <c r="E20" t="str">
        <f t="shared" si="0"/>
        <v>PR017</v>
      </c>
      <c r="F20" s="1" t="s">
        <v>31</v>
      </c>
      <c r="G20" s="1" t="s">
        <v>32</v>
      </c>
      <c r="H20" s="1">
        <v>720000</v>
      </c>
    </row>
    <row r="21" spans="4:8" ht="21.75" customHeight="1" x14ac:dyDescent="0.25">
      <c r="D21" s="1">
        <v>18</v>
      </c>
      <c r="E21" t="str">
        <f t="shared" si="0"/>
        <v>PR018</v>
      </c>
      <c r="F21" s="1" t="s">
        <v>25</v>
      </c>
      <c r="G21" s="1" t="s">
        <v>26</v>
      </c>
      <c r="H21" s="1">
        <v>210000</v>
      </c>
    </row>
    <row r="22" spans="4:8" ht="21.75" customHeight="1" x14ac:dyDescent="0.25">
      <c r="D22" s="1">
        <v>19</v>
      </c>
      <c r="E22" t="str">
        <f t="shared" si="0"/>
        <v>PR019</v>
      </c>
      <c r="F22" s="1" t="s">
        <v>79</v>
      </c>
      <c r="G22" s="1" t="s">
        <v>26</v>
      </c>
      <c r="H22" s="1">
        <v>460000</v>
      </c>
    </row>
    <row r="23" spans="4:8" ht="21.75" customHeight="1" x14ac:dyDescent="0.25">
      <c r="D23" s="1">
        <v>20</v>
      </c>
      <c r="E23" t="str">
        <f t="shared" si="0"/>
        <v>PR020</v>
      </c>
      <c r="F23" s="1" t="s">
        <v>138</v>
      </c>
      <c r="G23" s="1" t="s">
        <v>29</v>
      </c>
      <c r="H23" s="1">
        <v>75000</v>
      </c>
    </row>
  </sheetData>
  <mergeCells count="1">
    <mergeCell ref="B2:C2"/>
  </mergeCells>
  <dataValidations count="1">
    <dataValidation type="list" allowBlank="1" showInputMessage="1" showErrorMessage="1" sqref="E4:E23" xr:uid="{44127217-5B18-42F2-B468-E509B5653439}">
      <formula1>KodeProduk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08928-F670-4389-91FC-A42611E7F6CC}">
  <dimension ref="B3:H4"/>
  <sheetViews>
    <sheetView workbookViewId="0">
      <selection activeCell="H8" sqref="H8"/>
    </sheetView>
  </sheetViews>
  <sheetFormatPr defaultRowHeight="15" x14ac:dyDescent="0.25"/>
  <cols>
    <col min="4" max="4" width="15" bestFit="1" customWidth="1"/>
    <col min="5" max="5" width="16.7109375" bestFit="1" customWidth="1"/>
    <col min="6" max="6" width="14.5703125" bestFit="1" customWidth="1"/>
    <col min="7" max="7" width="15.5703125" bestFit="1" customWidth="1"/>
    <col min="8" max="8" width="5.7109375" bestFit="1" customWidth="1"/>
  </cols>
  <sheetData>
    <row r="3" spans="2:8" x14ac:dyDescent="0.25">
      <c r="B3" s="2" t="s">
        <v>10</v>
      </c>
      <c r="C3" s="2"/>
    </row>
    <row r="4" spans="2:8" x14ac:dyDescent="0.25">
      <c r="D4" t="s">
        <v>11</v>
      </c>
      <c r="E4" t="s">
        <v>12</v>
      </c>
      <c r="F4" t="s">
        <v>13</v>
      </c>
      <c r="G4" t="s">
        <v>14</v>
      </c>
      <c r="H4" t="s">
        <v>15</v>
      </c>
    </row>
  </sheetData>
  <mergeCells count="1">
    <mergeCell ref="B3:C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D5F84-78FA-418E-BD7B-94443E20F540}">
  <dimension ref="A1"/>
  <sheetViews>
    <sheetView workbookViewId="0">
      <selection activeCell="D17" sqref="D17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Data Penjualan</vt:lpstr>
      <vt:lpstr>Master Produk</vt:lpstr>
      <vt:lpstr>Data Dashboard</vt:lpstr>
      <vt:lpstr>Rumus</vt:lpstr>
      <vt:lpstr>KodeProduk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Ramdani</dc:creator>
  <cp:lastModifiedBy>Muhammad Ramdani</cp:lastModifiedBy>
  <dcterms:created xsi:type="dcterms:W3CDTF">2026-07-08T07:46:04Z</dcterms:created>
  <dcterms:modified xsi:type="dcterms:W3CDTF">2026-07-08T14:13:37Z</dcterms:modified>
</cp:coreProperties>
</file>